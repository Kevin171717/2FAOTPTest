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wner\Documents\2FAOTPTest\outputs\regex_openai_comparison\"/>
    </mc:Choice>
  </mc:AlternateContent>
  <bookViews>
    <workbookView xWindow="0" yWindow="0" windowWidth="19200" windowHeight="8070" activeTab="4"/>
  </bookViews>
  <sheets>
    <sheet name="實驗摘要" sheetId="1" r:id="rId1"/>
    <sheet name="外部成本" sheetId="2" r:id="rId2"/>
    <sheet name="全部明細" sheetId="4" r:id="rId3"/>
    <sheet name="API 呼叫明細" sheetId="5" r:id="rId4"/>
    <sheet name="定義與來源" sheetId="6" r:id="rId5"/>
  </sheets>
  <calcPr calcId="162913"/>
</workbook>
</file>

<file path=xl/calcChain.xml><?xml version="1.0" encoding="utf-8"?>
<calcChain xmlns="http://schemas.openxmlformats.org/spreadsheetml/2006/main">
  <c r="E22" i="2" l="1"/>
  <c r="D22" i="2"/>
  <c r="E21" i="2"/>
  <c r="D21" i="2"/>
  <c r="E20" i="2"/>
  <c r="D20" i="2"/>
  <c r="E19" i="2"/>
  <c r="D19" i="2"/>
  <c r="E18" i="2"/>
  <c r="D18" i="2"/>
  <c r="E17" i="2"/>
  <c r="D17" i="2"/>
  <c r="L13" i="2"/>
  <c r="M13" i="2" s="1"/>
  <c r="E13" i="2"/>
  <c r="G13" i="2" s="1"/>
  <c r="L12" i="2"/>
  <c r="M12" i="2" s="1"/>
  <c r="J6" i="1" s="1"/>
  <c r="E12" i="2"/>
  <c r="G12" i="2" s="1"/>
  <c r="N14" i="1"/>
  <c r="T14" i="1" s="1"/>
  <c r="K14" i="1"/>
  <c r="S14" i="1" s="1"/>
  <c r="H14" i="1"/>
  <c r="R14" i="1" s="1"/>
  <c r="E14" i="1"/>
  <c r="Q14" i="1" s="1"/>
  <c r="S13" i="1"/>
  <c r="R13" i="1"/>
  <c r="Q13" i="1"/>
  <c r="N13" i="1"/>
  <c r="T13" i="1" s="1"/>
  <c r="K13" i="1"/>
  <c r="H13" i="1"/>
  <c r="E13" i="1"/>
  <c r="N12" i="1"/>
  <c r="T12" i="1" s="1"/>
  <c r="K12" i="1"/>
  <c r="S12" i="1" s="1"/>
  <c r="H12" i="1"/>
  <c r="R12" i="1" s="1"/>
  <c r="E12" i="1"/>
  <c r="Q12" i="1" s="1"/>
  <c r="N11" i="1"/>
  <c r="T11" i="1" s="1"/>
  <c r="K11" i="1"/>
  <c r="S11" i="1" s="1"/>
  <c r="H11" i="1"/>
  <c r="R11" i="1" s="1"/>
  <c r="E11" i="1"/>
  <c r="Q11" i="1" s="1"/>
</calcChain>
</file>

<file path=xl/sharedStrings.xml><?xml version="1.0" encoding="utf-8"?>
<sst xmlns="http://schemas.openxmlformats.org/spreadsheetml/2006/main" count="2668" uniqueCount="359">
  <si>
    <t>Regex + OpenAI 實驗與外部成本比較</t>
  </si>
  <si>
    <t>128 筆資料 | 模型 gpt-5.6-luna | 正式實驗 | 產生時間 2026-09-02</t>
  </si>
  <si>
    <t>品質結論</t>
  </si>
  <si>
    <t>Regex+OpenAI API 呼叫</t>
  </si>
  <si>
    <t>Regex+OpenAI 總成本</t>
  </si>
  <si>
    <t>Hybrid 節省成本</t>
  </si>
  <si>
    <t>OTP 100% / 負樣本誤抽 0%</t>
  </si>
  <si>
    <t>指標</t>
  </si>
  <si>
    <t>方向</t>
  </si>
  <si>
    <t>Baseline 正確/誤抽數</t>
  </si>
  <si>
    <t>Baseline 樣本數</t>
  </si>
  <si>
    <t>Baseline 比率</t>
  </si>
  <si>
    <t>Regex+BGE 正確/誤抽數</t>
  </si>
  <si>
    <t>Regex+BGE 樣本數</t>
  </si>
  <si>
    <t>Regex+BGE 比率</t>
  </si>
  <si>
    <t>Hybrid 正確/誤抽數</t>
  </si>
  <si>
    <t>Hybrid 樣本數</t>
  </si>
  <si>
    <t>Hybrid 比率</t>
  </si>
  <si>
    <t>Regex+OpenAI 正確/誤抽數</t>
  </si>
  <si>
    <t>Regex+OpenAI 樣本數</t>
  </si>
  <si>
    <t>Regex+OpenAI 比率</t>
  </si>
  <si>
    <t>Baseline</t>
  </si>
  <si>
    <t>Regex+BGE</t>
  </si>
  <si>
    <t>Hybrid</t>
  </si>
  <si>
    <t>Regex+OpenAI</t>
  </si>
  <si>
    <t>OTP Top-1 正確率</t>
  </si>
  <si>
    <t>越高越好</t>
  </si>
  <si>
    <t>OTP Top-3 正確率</t>
  </si>
  <si>
    <t>驗證連結擷取率</t>
  </si>
  <si>
    <t>負樣本誤抽率</t>
  </si>
  <si>
    <t>越低越好</t>
  </si>
  <si>
    <t>負樣本正確拒絕率</t>
  </si>
  <si>
    <t>架構</t>
  </si>
  <si>
    <t>API 呼叫</t>
  </si>
  <si>
    <t>覆蓋率</t>
  </si>
  <si>
    <t>總 tokens</t>
  </si>
  <si>
    <t>總成本 (USD)</t>
  </si>
  <si>
    <t>每千筆成本</t>
  </si>
  <si>
    <t>平均延遲 ms</t>
  </si>
  <si>
    <t>P50 ms</t>
  </si>
  <si>
    <t>P95 ms</t>
  </si>
  <si>
    <t>最大 ms</t>
  </si>
  <si>
    <t>API 延遲總和 s</t>
  </si>
  <si>
    <t>外傳訊息數</t>
  </si>
  <si>
    <t>API 呼叫數</t>
  </si>
  <si>
    <t>Regex+BGE+OpenAI fallback</t>
  </si>
  <si>
    <t>實驗結論</t>
  </si>
  <si>
    <t>兩種 OpenAI 架構在本資料集的最終 Top-1 完全相同：OTP 103/103，負樣本誤抽 0/15。 Regex+OpenAI 的優點是流程簡單；但 Hybrid 只送 66 筆 API，相比 123 筆減少 57 次外傳與呼叫，並且在品質不變下節省約 19.2% API 成本。因此這 128 筆上，Hybrid 是較合理的部署方案。</t>
  </si>
  <si>
    <t>API 外部成本與延遲</t>
  </si>
  <si>
    <t>費率與 token 數據可稽核；缺少的延遲數據留白，不以 0 代替。</t>
  </si>
  <si>
    <t>費率假設</t>
  </si>
  <si>
    <t>USD / 1M tokens</t>
  </si>
  <si>
    <t>模型</t>
  </si>
  <si>
    <t>來源</t>
  </si>
  <si>
    <t>未快取輸入</t>
  </si>
  <si>
    <t>gpt-5.6-luna</t>
  </si>
  <si>
    <t>https://developers.openai.com/api/docs/models/gpt-5.6-luna</t>
  </si>
  <si>
    <t>快取輸入</t>
  </si>
  <si>
    <t>Cache write</t>
  </si>
  <si>
    <t>輸出</t>
  </si>
  <si>
    <t>輸入 tokens</t>
  </si>
  <si>
    <t>快取 tokens</t>
  </si>
  <si>
    <t>Cache-write tokens</t>
  </si>
  <si>
    <t>未快取 tokens</t>
  </si>
  <si>
    <t>輸出 tokens</t>
  </si>
  <si>
    <t>公式重算成本</t>
  </si>
  <si>
    <t>JSON 記錄成本</t>
  </si>
  <si>
    <t>API 總延遲 s</t>
  </si>
  <si>
    <t>成本相對 Regex+OpenAI</t>
  </si>
  <si>
    <t>節省率相對 Regex+OpenAI</t>
  </si>
  <si>
    <t>差異指標</t>
  </si>
  <si>
    <t>絕對差</t>
  </si>
  <si>
    <t>相對差</t>
  </si>
  <si>
    <t>解讀</t>
  </si>
  <si>
    <t>Regex+OpenAI 對幾乎所有含候選訊息都呼叫 API</t>
  </si>
  <si>
    <t>外傳訊息覆蓋率</t>
  </si>
  <si>
    <t>覆蓋率也可視為資料外傳面積</t>
  </si>
  <si>
    <t>Regex+OpenAI prompt 較短，因此 token 增幅小於呼叫數增幅</t>
  </si>
  <si>
    <t>兩者皆依 API 回報 token 與費率估算</t>
  </si>
  <si>
    <t>API 延遲總和 (s)</t>
  </si>
  <si>
    <t>串行執行時的累計等待時間</t>
  </si>
  <si>
    <t>平均 API 延遲 (ms)</t>
  </si>
  <si>
    <t>單次延遲接近，總等待差異主要來自呼叫數</t>
  </si>
  <si>
    <t>序號</t>
  </si>
  <si>
    <t>ID</t>
  </si>
  <si>
    <t>類別</t>
  </si>
  <si>
    <t>Ground truth</t>
  </si>
  <si>
    <t>Hybrid Top-1</t>
  </si>
  <si>
    <t>Hybrid Top-3</t>
  </si>
  <si>
    <t>Regex+OpenAI Top-1</t>
  </si>
  <si>
    <t>Regex+OpenAI Top-3</t>
  </si>
  <si>
    <t>驗證連結</t>
  </si>
  <si>
    <t>email</t>
  </si>
  <si>
    <t>link</t>
  </si>
  <si>
    <t>https://www.garmin.com/zh-TW/account/profile/verify?t=830cbfb2-a386-42f7-84cd-c7b5fa3cd...</t>
  </si>
  <si>
    <t>otp</t>
  </si>
  <si>
    <t>472966</t>
  </si>
  <si>
    <t>472966, 21-May, 2022-2026</t>
  </si>
  <si>
    <t>https://id.logi.com/verify.html?action&amp;#x3D;confirmEmail&amp;amp;client_id&amp;#x3D;6dc58bae-28...</t>
  </si>
  <si>
    <t>http://url4722.e.zenrows.com/ls/click?upn=u001.RMLoKmqi4Alb6t1ObIEvl20244LqyMjaec-2BQn-...</t>
  </si>
  <si>
    <t>128 筆全部明細</t>
  </si>
  <si>
    <t>無原始訊息內容；保留候選、路由、預測、正確性與成本欄位。</t>
  </si>
  <si>
    <t>Regex 候選</t>
  </si>
  <si>
    <t>BGE Top-3</t>
  </si>
  <si>
    <t>Hybrid 路由</t>
  </si>
  <si>
    <t>Regex+OpenAI 路由</t>
  </si>
  <si>
    <t>Top-1 相同</t>
  </si>
  <si>
    <t>OTP Top-1 正確</t>
  </si>
  <si>
    <t>OTP Top-3 正確</t>
  </si>
  <si>
    <t>URL 正確</t>
  </si>
  <si>
    <t>負樣本誤抽</t>
  </si>
  <si>
    <t>OpenAI 延遲 ms</t>
  </si>
  <si>
    <t>OpenAI 成本 USD</t>
  </si>
  <si>
    <t>sms</t>
  </si>
  <si>
    <t>408785</t>
  </si>
  <si>
    <t>OPENAI_FALLBACK</t>
  </si>
  <si>
    <t>OPENAI_ALL_CANDIDATES</t>
  </si>
  <si>
    <t>329935</t>
  </si>
  <si>
    <t>BGE_DIRECT</t>
  </si>
  <si>
    <t>306112</t>
  </si>
  <si>
    <t>061960</t>
  </si>
  <si>
    <t>APPLE, 061960</t>
  </si>
  <si>
    <t>498211</t>
  </si>
  <si>
    <t>891968</t>
  </si>
  <si>
    <t>891968, 88158198</t>
  </si>
  <si>
    <t>901993</t>
  </si>
  <si>
    <t>320367</t>
  </si>
  <si>
    <t>200559</t>
  </si>
  <si>
    <t>14472</t>
  </si>
  <si>
    <t>1692</t>
  </si>
  <si>
    <t>115884</t>
  </si>
  <si>
    <t>249301</t>
  </si>
  <si>
    <t>159bab8a</t>
  </si>
  <si>
    <t>698163</t>
  </si>
  <si>
    <t>1510</t>
  </si>
  <si>
    <t>346084</t>
  </si>
  <si>
    <t>521356</t>
  </si>
  <si>
    <t>364119</t>
  </si>
  <si>
    <t>316395</t>
  </si>
  <si>
    <t>908302</t>
  </si>
  <si>
    <t>908302, MGJYD</t>
  </si>
  <si>
    <t>837052</t>
  </si>
  <si>
    <t>403733</t>
  </si>
  <si>
    <t>8888</t>
  </si>
  <si>
    <t>23Q1X</t>
  </si>
  <si>
    <t>606190</t>
  </si>
  <si>
    <t>765873</t>
  </si>
  <si>
    <t>1211</t>
  </si>
  <si>
    <t>1211, STOP</t>
  </si>
  <si>
    <t>648178</t>
  </si>
  <si>
    <t>SWAG, 648178</t>
  </si>
  <si>
    <t>03040</t>
  </si>
  <si>
    <t>800419</t>
  </si>
  <si>
    <t>9682</t>
  </si>
  <si>
    <t>640436</t>
  </si>
  <si>
    <t>480581</t>
  </si>
  <si>
    <t>21546</t>
  </si>
  <si>
    <t>707615</t>
  </si>
  <si>
    <t>6984</t>
  </si>
  <si>
    <t>4111</t>
  </si>
  <si>
    <t>866996</t>
  </si>
  <si>
    <t>025060</t>
  </si>
  <si>
    <t>656679</t>
  </si>
  <si>
    <t>656679, HUAWEI</t>
  </si>
  <si>
    <t>0660</t>
  </si>
  <si>
    <t>359583</t>
  </si>
  <si>
    <t>4159</t>
  </si>
  <si>
    <t>317819</t>
  </si>
  <si>
    <t>085224</t>
  </si>
  <si>
    <t>417095</t>
  </si>
  <si>
    <t>231967</t>
  </si>
  <si>
    <t>964527</t>
  </si>
  <si>
    <t>023810</t>
  </si>
  <si>
    <t>696545</t>
  </si>
  <si>
    <t>8288</t>
  </si>
  <si>
    <t>708605</t>
  </si>
  <si>
    <t>132598</t>
  </si>
  <si>
    <t>311421</t>
  </si>
  <si>
    <t>404472</t>
  </si>
  <si>
    <t>437887</t>
  </si>
  <si>
    <t>619871</t>
  </si>
  <si>
    <t>261814</t>
  </si>
  <si>
    <t>400967</t>
  </si>
  <si>
    <t>531839</t>
  </si>
  <si>
    <t>737114</t>
  </si>
  <si>
    <t>SIGNAL, 737114</t>
  </si>
  <si>
    <t>753950</t>
  </si>
  <si>
    <t>BIGO, LIVE, 753950</t>
  </si>
  <si>
    <t>920716</t>
  </si>
  <si>
    <t>728691</t>
  </si>
  <si>
    <t>728691, 2026, 22PM</t>
  </si>
  <si>
    <t>044701</t>
  </si>
  <si>
    <t>044701, 2026, 01PM</t>
  </si>
  <si>
    <t>158919</t>
  </si>
  <si>
    <t>158919, 2026, 39PM</t>
  </si>
  <si>
    <t>1423</t>
  </si>
  <si>
    <t>1423, 1076</t>
  </si>
  <si>
    <t>9196</t>
  </si>
  <si>
    <t>9196, STOP, 886903, 444679, 2026, 21PM</t>
  </si>
  <si>
    <t>9196, STOP, 886903</t>
  </si>
  <si>
    <t>0343</t>
  </si>
  <si>
    <t>0343, 2026, 20PM</t>
  </si>
  <si>
    <t>2902</t>
  </si>
  <si>
    <t>2902, 1076</t>
  </si>
  <si>
    <t>819668</t>
  </si>
  <si>
    <t>819668, SHOP, NEWEGG, ACCOUNT, CUSTOMER, SERVICE, 21688, 91765</t>
  </si>
  <si>
    <t>819668, SHOP, NEWEGG</t>
  </si>
  <si>
    <t>https://login.blockchain.com/deeplink/#/login/eyJzZXNzaW9uX2lkIjoiM2I0YzAwMmItYmYyMS00O...</t>
  </si>
  <si>
    <t>c0e9ee38, 2026, Win10, c61a6e33, 8c5b, 4afc, a717</t>
  </si>
  <si>
    <t>259575</t>
  </si>
  <si>
    <t>259575, 2026, 94063</t>
  </si>
  <si>
    <t>653315</t>
  </si>
  <si>
    <t>653315, 1200, 151st, 66062</t>
  </si>
  <si>
    <t>653315, 1200, 151st</t>
  </si>
  <si>
    <t>6PFUED</t>
  </si>
  <si>
    <t>6PFUED, 1011</t>
  </si>
  <si>
    <t>6PFUED, 1996, 2026</t>
  </si>
  <si>
    <t>835478</t>
  </si>
  <si>
    <t>835478, 1200, 151st, 66062</t>
  </si>
  <si>
    <t>835478, 1200, 151st</t>
  </si>
  <si>
    <t>1200, 151st, 66062</t>
  </si>
  <si>
    <t>341977</t>
  </si>
  <si>
    <t>384572</t>
  </si>
  <si>
    <t>384572, 2026, 26PM</t>
  </si>
  <si>
    <t>6227304</t>
  </si>
  <si>
    <t>6227304, 2026, 28AM</t>
  </si>
  <si>
    <t>247736</t>
  </si>
  <si>
    <t>247736, 2026, 2407, 4b00, 1c0c, 74d3, 6d66, 5402, a2fd</t>
  </si>
  <si>
    <t>247736, 2026, 2407</t>
  </si>
  <si>
    <t>420062</t>
  </si>
  <si>
    <t>420062, 94025</t>
  </si>
  <si>
    <t>293888</t>
  </si>
  <si>
    <t>293888, 1600, 94043</t>
  </si>
  <si>
    <t>GQQCTJ</t>
  </si>
  <si>
    <t>GQQCTJ, 1011</t>
  </si>
  <si>
    <t>GQQCTJ, 1996, 2026</t>
  </si>
  <si>
    <t>https://login.blockchain.com/deeplink/#/login/eyJzZXNzaW9uX2lkIjoiYWRiZDMwNDEtNWI2OC00N...</t>
  </si>
  <si>
    <t>NO_REGEX_CANDIDATE</t>
  </si>
  <si>
    <t>126722</t>
  </si>
  <si>
    <t>negative</t>
  </si>
  <si>
    <t>none</t>
  </si>
  <si>
    <t>1076</t>
  </si>
  <si>
    <t>1601, 94025</t>
  </si>
  <si>
    <t>2026, 1600, 94043</t>
  </si>
  <si>
    <t>94105</t>
  </si>
  <si>
    <t>416765</t>
  </si>
  <si>
    <t>416765, 94065, 2026</t>
  </si>
  <si>
    <t>https://wordpress.com/log-in/link/use/zh-tw?token=gUCtE6iNpuoL%2F%2BiI0iCIKw%3D%3D%3AK1...</t>
  </si>
  <si>
    <t>29th, 94110</t>
  </si>
  <si>
    <t>https://signup.wordpress.com/activate/cf26a5014471d2b5</t>
  </si>
  <si>
    <t>https://u.pcloud.com/trackmail?url=aHR0cHM6Ly91LnBjbG91ZC5jb20vPyNwYWdlPXZlcmlmeW1haWwm...</t>
  </si>
  <si>
    <t>2025, 6340</t>
  </si>
  <si>
    <t>2026, 2261, 85232, 94114</t>
  </si>
  <si>
    <t>2026, 2261, 85232</t>
  </si>
  <si>
    <t>707275</t>
  </si>
  <si>
    <t>713300</t>
  </si>
  <si>
    <t>713300, 02481</t>
  </si>
  <si>
    <t>2026, 2440, 94040</t>
  </si>
  <si>
    <t>386588</t>
  </si>
  <si>
    <t>386588, 2026</t>
  </si>
  <si>
    <t>https://click.discord.com/ls/click?upn=u001.a0NJ38DJJG1sulNx5wS1jq2Trm-2FND-2F8pNqpHdom...</t>
  </si>
  <si>
    <t>8868</t>
  </si>
  <si>
    <t>8868, 20for, 20Ko-fi</t>
  </si>
  <si>
    <t>6dc58bae, 28c8, f4e3, ade8, 2Fwww, 2Fzh-tw, 2Fapi, 2Flogin, 2Fmy, 29753, 34CC, 4706, 9973, 1832, 2026, 3930, 95134</t>
  </si>
  <si>
    <t>359482</t>
  </si>
  <si>
    <t>314386</t>
  </si>
  <si>
    <t>329643</t>
  </si>
  <si>
    <t>927611</t>
  </si>
  <si>
    <t>927611, 02481</t>
  </si>
  <si>
    <t>https://app.slack.com/t/123-9kt3711/login/z-app-10427397201296-11171731800096-02372cf92...</t>
  </si>
  <si>
    <t>ZYE-W6Z</t>
  </si>
  <si>
    <t>567010</t>
  </si>
  <si>
    <t>626571</t>
  </si>
  <si>
    <t>626571, 2026, 46PM</t>
  </si>
  <si>
    <t>1080</t>
  </si>
  <si>
    <t>1080, STOP, 886903, 444679, 2026, 23PM</t>
  </si>
  <si>
    <t>1080, STOP, 886903</t>
  </si>
  <si>
    <t>2026</t>
  </si>
  <si>
    <t>1389</t>
  </si>
  <si>
    <t>1389, 1515, 94158</t>
  </si>
  <si>
    <t>ENJOY15, UPGRADE, FOLLOW, 19709</t>
  </si>
  <si>
    <t>ENJOY15, UPGRADE, FOLLOW</t>
  </si>
  <si>
    <t>skills1, 1World, 2025, 2026, 2440, 94040</t>
  </si>
  <si>
    <t>496097</t>
  </si>
  <si>
    <t>496097, 2026, 08PM</t>
  </si>
  <si>
    <t>3788, 1601, 94025</t>
  </si>
  <si>
    <t>64110198</t>
  </si>
  <si>
    <t>64110198, 1601, 94025</t>
  </si>
  <si>
    <t>2026, WWII, 3500, IQ-101, 19901</t>
  </si>
  <si>
    <t>915581</t>
  </si>
  <si>
    <t>915581, 94107</t>
  </si>
  <si>
    <t>853152</t>
  </si>
  <si>
    <t>853152, 2026, 3930, 95134</t>
  </si>
  <si>
    <t>2026, 853152, 3930</t>
  </si>
  <si>
    <t>API 呼叫明細</t>
  </si>
  <si>
    <t>Hybrid 與 Regex+OpenAI 的每次成功/失敗、token、成本與延遲。</t>
  </si>
  <si>
    <t>路由</t>
  </si>
  <si>
    <t>訊息類型</t>
  </si>
  <si>
    <t>原因碼</t>
  </si>
  <si>
    <t>選擇結果</t>
  </si>
  <si>
    <t>延遲 ms</t>
  </si>
  <si>
    <t>成本 USD</t>
  </si>
  <si>
    <t>OTP</t>
  </si>
  <si>
    <t>EXPLICIT_ACTIONABLE_OTP</t>
  </si>
  <si>
    <t>OTP_WITH_DISTRACTORS</t>
  </si>
  <si>
    <t>SECURITY_NOTIFICATION</t>
  </si>
  <si>
    <t>NO_ACTIONABLE_OTP</t>
  </si>
  <si>
    <t>NO_OTP</t>
  </si>
  <si>
    <t>OTHER_NO_OTP</t>
  </si>
  <si>
    <t>ADDRESS_OR_FOOTER</t>
  </si>
  <si>
    <t>STATUS_NOTIFICATION</t>
  </si>
  <si>
    <t>PROMOTION</t>
  </si>
  <si>
    <t>PROMO_CODE</t>
  </si>
  <si>
    <t>PHONE_SUFFIX</t>
  </si>
  <si>
    <t>定義、局限與資料來源</t>
  </si>
  <si>
    <t>本頁讓實驗結果可重現、可解釋，並清楚界定沒有量到的東西。</t>
  </si>
  <si>
    <t>主題</t>
  </si>
  <si>
    <t>定義/說明</t>
  </si>
  <si>
    <t>數值</t>
  </si>
  <si>
    <t>單位</t>
  </si>
  <si>
    <t>資料來源</t>
  </si>
  <si>
    <t>備註</t>
  </si>
  <si>
    <t>資料集</t>
  </si>
  <si>
    <t>OTP 正樣本 103、驗證連結 10、負樣本 15</t>
  </si>
  <si>
    <t>筆</t>
  </si>
  <si>
    <t>otp_dataset_dedup.xlsx</t>
  </si>
  <si>
    <t>兩架構使用同一份資料</t>
  </si>
  <si>
    <t>只要 Regex v2 有一個以上 OTP 候選就呼叫 API；無候選直接 NO_OTP</t>
  </si>
  <si>
    <t>regex_openai_experiment_results.json</t>
  </si>
  <si>
    <t>不使用 BGE 分數</t>
  </si>
  <si>
    <t>Regex v2 候選先經 BGE gate，只將模糊案例送 API</t>
  </si>
  <si>
    <t>bge_openai_experiment_results.json</t>
  </si>
  <si>
    <t>62 筆 BGE 直接輸出</t>
  </si>
  <si>
    <t>外部成本</t>
  </si>
  <si>
    <t>依 Responses API 回報 token 使用量與 .env 保存費率計算</t>
  </si>
  <si>
    <t>USD</t>
  </si>
  <si>
    <t>未包含網路、人力與電力</t>
  </si>
  <si>
    <t>API 延遲</t>
  </si>
  <si>
    <t>從發出 API 要求到取得並解析結構化回應的 wall-clock 時間</t>
  </si>
  <si>
    <t>ms/次</t>
  </si>
  <si>
    <t>串行執行；實際服務可以並行</t>
  </si>
  <si>
    <t>能耗</t>
  </si>
  <si>
    <t>本次依使用者決定不量測</t>
  </si>
  <si>
    <t>OpenAI API 也不回傳單次推論能耗</t>
  </si>
  <si>
    <t>兩個新實驗沿用原 Regex v2+BGE URL prediction，未將 URL 改送 OpenAI</t>
  </si>
  <si>
    <t>正確率</t>
  </si>
  <si>
    <t>regex_v2_experiment_results.json</t>
  </si>
  <si>
    <t>因此兩架構都是 7/10</t>
  </si>
  <si>
    <t>評估泄漏防護</t>
  </si>
  <si>
    <t>Ground truth 只在完成預測後用於計分，不送入 prompt 或路由</t>
  </si>
  <si>
    <t>run_regex_openai_experiment.py</t>
  </si>
  <si>
    <t>Prompt 另存 SHA-256 於 JSON</t>
  </si>
  <si>
    <t>快取計價</t>
  </si>
  <si>
    <t>Cache-write token 使用 .env 費率 0.25 USD / 1M</t>
  </si>
  <si>
    <t>USD / 1M</t>
  </si>
  <si>
    <t>保留 API 實際回報 token 類別</t>
  </si>
  <si>
    <t>最終建議</t>
  </si>
  <si>
    <t>本資料集上 Hybrid 與 Regex+OpenAI 品質相同，但 Hybrid 外部呼叫、資料外傳與成本較低</t>
  </si>
  <si>
    <t>上線前應用新的 holdout set 再驗證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</si>
</sst>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\$0.000000"/>
    <numFmt numFmtId="177" formatCode="0.0%"/>
    <numFmt numFmtId="178" formatCode="#,##0.0"/>
    <numFmt numFmtId="179" formatCode="\$0.00"/>
    <numFmt numFmtId="180" formatCode="\$0.00000000"/>
    <numFmt numFmtId="181" formatCode="\+0.0%;\-0.0%;0.0%"/>
  </numFmts>
  <fonts count="8">
    <font>
      <sz val="11"/>
      <name val="Carlito"/>
    </font>
    <font>
      <b/>
      <sz val="10"/>
      <color rgb="FF20344A"/>
      <name val="Aptos"/>
    </font>
    <font>
      <sz val="10"/>
      <color rgb="FF20344A"/>
      <name val="Aptos"/>
    </font>
    <font>
      <i/>
      <sz val="10"/>
      <color rgb="FF20344A"/>
      <name val="Aptos"/>
    </font>
    <font>
      <b/>
      <sz val="18"/>
      <color rgb="FFFFFFFF"/>
      <name val="Aptos Display"/>
    </font>
    <font>
      <b/>
      <sz val="10"/>
      <color rgb="FFFFFFFF"/>
      <name val="Aptos"/>
    </font>
    <font>
      <sz val="11"/>
      <name val="Carlito"/>
    </font>
    <font>
      <sz val="9"/>
      <name val="細明體"/>
      <family val="3"/>
      <charset val="136"/>
    </font>
  </fonts>
  <fills count="9">
    <fill>
      <patternFill patternType="none"/>
    </fill>
    <fill>
      <patternFill patternType="gray125"/>
    </fill>
    <fill>
      <patternFill patternType="solid">
        <fgColor rgb="FF20344A"/>
      </patternFill>
    </fill>
    <fill>
      <patternFill patternType="solid">
        <fgColor rgb="FFF3F6F8"/>
      </patternFill>
    </fill>
    <fill>
      <patternFill patternType="solid">
        <fgColor rgb="FF315B7D"/>
      </patternFill>
    </fill>
    <fill>
      <patternFill patternType="solid">
        <fgColor rgb="FFE6F0F7"/>
      </patternFill>
    </fill>
    <fill>
      <patternFill patternType="solid">
        <fgColor rgb="FFE2F3EA"/>
      </patternFill>
    </fill>
    <fill>
      <patternFill patternType="solid">
        <fgColor rgb="FFFFF0D8"/>
      </patternFill>
    </fill>
    <fill>
      <patternFill patternType="solid">
        <fgColor rgb="FF21867A"/>
      </patternFill>
    </fill>
  </fills>
  <borders count="12">
    <border>
      <left/>
      <right/>
      <top/>
      <bottom/>
      <diagonal/>
    </border>
    <border>
      <left style="thin">
        <color rgb="FFD6DEE5"/>
      </left>
      <right/>
      <top style="thin">
        <color rgb="FFD6DEE5"/>
      </top>
      <bottom/>
      <diagonal/>
    </border>
    <border>
      <left/>
      <right/>
      <top style="thin">
        <color rgb="FFD6DEE5"/>
      </top>
      <bottom/>
      <diagonal/>
    </border>
    <border>
      <left/>
      <right style="thin">
        <color rgb="FFD6DEE5"/>
      </right>
      <top style="thin">
        <color rgb="FFD6DEE5"/>
      </top>
      <bottom/>
      <diagonal/>
    </border>
    <border>
      <left style="thin">
        <color rgb="FFD6DEE5"/>
      </left>
      <right/>
      <top/>
      <bottom style="thin">
        <color rgb="FFD6DEE5"/>
      </bottom>
      <diagonal/>
    </border>
    <border>
      <left/>
      <right/>
      <top/>
      <bottom style="thin">
        <color rgb="FFD6DEE5"/>
      </bottom>
      <diagonal/>
    </border>
    <border>
      <left/>
      <right style="thin">
        <color rgb="FFD6DEE5"/>
      </right>
      <top/>
      <bottom style="thin">
        <color rgb="FFD6DEE5"/>
      </bottom>
      <diagonal/>
    </border>
    <border>
      <left style="thin">
        <color rgb="FFD6DEE5"/>
      </left>
      <right/>
      <top style="thin">
        <color rgb="FFD6DEE5"/>
      </top>
      <bottom style="thin">
        <color rgb="FFD6DEE5"/>
      </bottom>
      <diagonal/>
    </border>
    <border>
      <left/>
      <right/>
      <top style="thin">
        <color rgb="FFD6DEE5"/>
      </top>
      <bottom style="thin">
        <color rgb="FFD6DEE5"/>
      </bottom>
      <diagonal/>
    </border>
    <border>
      <left/>
      <right style="thin">
        <color rgb="FFD6DEE5"/>
      </right>
      <top style="thin">
        <color rgb="FFD6DEE5"/>
      </top>
      <bottom style="thin">
        <color rgb="FFD6DEE5"/>
      </bottom>
      <diagonal/>
    </border>
    <border>
      <left style="thin">
        <color rgb="FFD6DEE5"/>
      </left>
      <right/>
      <top/>
      <bottom/>
      <diagonal/>
    </border>
    <border>
      <left/>
      <right style="thin">
        <color rgb="FFD6DEE5"/>
      </right>
      <top/>
      <bottom/>
      <diagonal/>
    </border>
  </borders>
  <cellStyleXfs count="2">
    <xf numFmtId="0" fontId="0" fillId="0" borderId="0"/>
    <xf numFmtId="0" fontId="6" fillId="0" borderId="0"/>
  </cellStyleXfs>
  <cellXfs count="53">
    <xf numFmtId="0" fontId="0" fillId="0" borderId="0" xfId="0"/>
    <xf numFmtId="0" fontId="2" fillId="0" borderId="0" xfId="1" applyNumberFormat="1" applyFont="1" applyFill="1" applyBorder="1"/>
    <xf numFmtId="0" fontId="2" fillId="0" borderId="5" xfId="1" applyNumberFormat="1" applyFont="1" applyFill="1" applyBorder="1" applyAlignment="1">
      <alignment vertical="top" wrapText="1"/>
    </xf>
    <xf numFmtId="177" fontId="2" fillId="0" borderId="5" xfId="1" applyNumberFormat="1" applyFont="1" applyFill="1" applyBorder="1" applyAlignment="1">
      <alignment vertical="top" wrapText="1"/>
    </xf>
    <xf numFmtId="177" fontId="2" fillId="6" borderId="5" xfId="1" applyNumberFormat="1" applyFont="1" applyFill="1" applyBorder="1" applyAlignment="1">
      <alignment vertical="top" wrapText="1"/>
    </xf>
    <xf numFmtId="0" fontId="2" fillId="6" borderId="5" xfId="1" applyNumberFormat="1" applyFont="1" applyFill="1" applyBorder="1" applyAlignment="1">
      <alignment vertical="top" wrapText="1"/>
    </xf>
    <xf numFmtId="9" fontId="2" fillId="0" borderId="0" xfId="1" applyNumberFormat="1" applyFont="1" applyFill="1" applyBorder="1"/>
    <xf numFmtId="0" fontId="2" fillId="0" borderId="8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2" fillId="6" borderId="8" xfId="1" applyNumberFormat="1" applyFont="1" applyFill="1" applyBorder="1" applyAlignment="1">
      <alignment vertical="top" wrapText="1"/>
    </xf>
    <xf numFmtId="0" fontId="2" fillId="6" borderId="8" xfId="1" applyNumberFormat="1" applyFont="1" applyFill="1" applyBorder="1" applyAlignment="1">
      <alignment vertical="top" wrapText="1"/>
    </xf>
    <xf numFmtId="176" fontId="2" fillId="0" borderId="5" xfId="1" applyNumberFormat="1" applyFont="1" applyFill="1" applyBorder="1" applyAlignment="1">
      <alignment vertical="top" wrapText="1"/>
    </xf>
    <xf numFmtId="178" fontId="2" fillId="0" borderId="5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8" fontId="2" fillId="0" borderId="8" xfId="1" applyNumberFormat="1" applyFont="1" applyFill="1" applyBorder="1" applyAlignment="1">
      <alignment vertical="top" wrapText="1"/>
    </xf>
    <xf numFmtId="0" fontId="2" fillId="7" borderId="8" xfId="1" applyNumberFormat="1" applyFont="1" applyFill="1" applyBorder="1" applyAlignment="1">
      <alignment vertical="top" wrapText="1"/>
    </xf>
    <xf numFmtId="177" fontId="2" fillId="7" borderId="8" xfId="1" applyNumberFormat="1" applyFont="1" applyFill="1" applyBorder="1" applyAlignment="1">
      <alignment vertical="top" wrapText="1"/>
    </xf>
    <xf numFmtId="176" fontId="2" fillId="7" borderId="8" xfId="1" applyNumberFormat="1" applyFont="1" applyFill="1" applyBorder="1" applyAlignment="1">
      <alignment vertical="top" wrapText="1"/>
    </xf>
    <xf numFmtId="178" fontId="2" fillId="7" borderId="8" xfId="1" applyNumberFormat="1" applyFont="1" applyFill="1" applyBorder="1" applyAlignment="1">
      <alignment vertical="top" wrapText="1"/>
    </xf>
    <xf numFmtId="179" fontId="2" fillId="0" borderId="5" xfId="1" applyNumberFormat="1" applyFont="1" applyFill="1" applyBorder="1" applyAlignment="1">
      <alignment vertical="top" wrapText="1"/>
    </xf>
    <xf numFmtId="179" fontId="2" fillId="0" borderId="8" xfId="1" applyNumberFormat="1" applyFont="1" applyFill="1" applyBorder="1" applyAlignment="1">
      <alignment vertical="top" wrapText="1"/>
    </xf>
    <xf numFmtId="180" fontId="2" fillId="6" borderId="5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1" fontId="2" fillId="0" borderId="5" xfId="1" applyNumberFormat="1" applyFont="1" applyFill="1" applyBorder="1" applyAlignment="1">
      <alignment vertical="top" wrapText="1"/>
    </xf>
    <xf numFmtId="181" fontId="2" fillId="0" borderId="8" xfId="1" applyNumberFormat="1" applyFont="1" applyFill="1" applyBorder="1" applyAlignment="1">
      <alignment vertical="top" wrapText="1"/>
    </xf>
    <xf numFmtId="0" fontId="2" fillId="0" borderId="5" xfId="1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180" fontId="2" fillId="0" borderId="5" xfId="1" applyNumberFormat="1" applyFont="1" applyFill="1" applyBorder="1" applyAlignment="1">
      <alignment vertical="top" wrapText="1"/>
    </xf>
    <xf numFmtId="0" fontId="2" fillId="0" borderId="8" xfId="1" applyNumberFormat="1" applyFont="1" applyFill="1" applyBorder="1" applyAlignment="1">
      <alignment vertical="top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5" fillId="4" borderId="7" xfId="1" applyNumberFormat="1" applyFont="1" applyFill="1" applyBorder="1" applyAlignment="1">
      <alignment vertical="center" wrapText="1"/>
    </xf>
    <xf numFmtId="0" fontId="5" fillId="4" borderId="8" xfId="1" applyNumberFormat="1" applyFont="1" applyFill="1" applyBorder="1" applyAlignment="1">
      <alignment vertical="center" wrapText="1"/>
    </xf>
    <xf numFmtId="0" fontId="5" fillId="4" borderId="9" xfId="1" applyNumberFormat="1" applyFont="1" applyFill="1" applyBorder="1" applyAlignment="1">
      <alignment vertical="center" wrapText="1"/>
    </xf>
    <xf numFmtId="0" fontId="4" fillId="2" borderId="0" xfId="1" applyNumberFormat="1" applyFont="1" applyFill="1" applyBorder="1" applyAlignment="1">
      <alignment vertical="center"/>
    </xf>
    <xf numFmtId="0" fontId="4" fillId="0" borderId="0" xfId="1" applyNumberFormat="1" applyFont="1" applyFill="1" applyBorder="1"/>
    <xf numFmtId="0" fontId="3" fillId="3" borderId="0" xfId="1" applyNumberFormat="1" applyFont="1" applyFill="1" applyBorder="1" applyAlignment="1">
      <alignment wrapText="1"/>
    </xf>
    <xf numFmtId="0" fontId="1" fillId="4" borderId="0" xfId="1" applyNumberFormat="1" applyFont="1" applyFill="1" applyBorder="1" applyAlignment="1">
      <alignment horizontal="center"/>
    </xf>
    <xf numFmtId="0" fontId="1" fillId="5" borderId="1" xfId="1" applyNumberFormat="1" applyFont="1" applyFill="1" applyBorder="1" applyAlignment="1">
      <alignment horizontal="center" vertical="center" wrapText="1"/>
    </xf>
    <xf numFmtId="0" fontId="1" fillId="5" borderId="2" xfId="1" applyNumberFormat="1" applyFont="1" applyFill="1" applyBorder="1" applyAlignment="1">
      <alignment horizontal="center" vertical="center" wrapText="1"/>
    </xf>
    <xf numFmtId="0" fontId="1" fillId="5" borderId="3" xfId="1" applyNumberFormat="1" applyFont="1" applyFill="1" applyBorder="1" applyAlignment="1">
      <alignment horizontal="center" vertical="center" wrapText="1"/>
    </xf>
    <xf numFmtId="0" fontId="1" fillId="5" borderId="4" xfId="1" applyNumberFormat="1" applyFont="1" applyFill="1" applyBorder="1" applyAlignment="1">
      <alignment horizontal="center" vertical="center" wrapText="1"/>
    </xf>
    <xf numFmtId="0" fontId="1" fillId="5" borderId="5" xfId="1" applyNumberFormat="1" applyFont="1" applyFill="1" applyBorder="1" applyAlignment="1">
      <alignment horizontal="center" vertical="center" wrapText="1"/>
    </xf>
    <xf numFmtId="0" fontId="1" fillId="5" borderId="6" xfId="1" applyNumberFormat="1" applyFont="1" applyFill="1" applyBorder="1" applyAlignment="1">
      <alignment horizontal="center" vertical="center" wrapText="1"/>
    </xf>
    <xf numFmtId="176" fontId="1" fillId="5" borderId="1" xfId="1" applyNumberFormat="1" applyFont="1" applyFill="1" applyBorder="1" applyAlignment="1">
      <alignment horizontal="center" vertical="center" wrapText="1"/>
    </xf>
    <xf numFmtId="177" fontId="1" fillId="5" borderId="1" xfId="1" applyNumberFormat="1" applyFont="1" applyFill="1" applyBorder="1" applyAlignment="1">
      <alignment horizontal="center" vertical="center" wrapText="1"/>
    </xf>
    <xf numFmtId="0" fontId="1" fillId="8" borderId="0" xfId="1" applyNumberFormat="1" applyFont="1" applyFill="1" applyBorder="1"/>
    <xf numFmtId="0" fontId="2" fillId="6" borderId="1" xfId="1" applyNumberFormat="1" applyFont="1" applyFill="1" applyBorder="1" applyAlignment="1">
      <alignment vertical="center" wrapText="1"/>
    </xf>
    <xf numFmtId="0" fontId="2" fillId="6" borderId="2" xfId="1" applyNumberFormat="1" applyFont="1" applyFill="1" applyBorder="1" applyAlignment="1">
      <alignment vertical="center" wrapText="1"/>
    </xf>
    <xf numFmtId="0" fontId="2" fillId="6" borderId="3" xfId="1" applyNumberFormat="1" applyFont="1" applyFill="1" applyBorder="1" applyAlignment="1">
      <alignment vertical="center" wrapText="1"/>
    </xf>
    <xf numFmtId="0" fontId="2" fillId="6" borderId="10" xfId="1" applyNumberFormat="1" applyFont="1" applyFill="1" applyBorder="1" applyAlignment="1">
      <alignment vertical="center" wrapText="1"/>
    </xf>
    <xf numFmtId="0" fontId="2" fillId="6" borderId="0" xfId="1" applyNumberFormat="1" applyFont="1" applyFill="1" applyBorder="1" applyAlignment="1">
      <alignment vertical="center" wrapText="1"/>
    </xf>
    <xf numFmtId="0" fontId="2" fillId="6" borderId="11" xfId="1" applyNumberFormat="1" applyFont="1" applyFill="1" applyBorder="1" applyAlignment="1">
      <alignment vertical="center" wrapText="1"/>
    </xf>
    <xf numFmtId="0" fontId="2" fillId="6" borderId="4" xfId="1" applyNumberFormat="1" applyFont="1" applyFill="1" applyBorder="1" applyAlignment="1">
      <alignment vertical="center" wrapText="1"/>
    </xf>
    <xf numFmtId="0" fontId="2" fillId="6" borderId="5" xfId="1" applyNumberFormat="1" applyFont="1" applyFill="1" applyBorder="1" applyAlignment="1">
      <alignment vertical="center" wrapText="1"/>
    </xf>
    <xf numFmtId="0" fontId="2" fillId="6" borderId="6" xfId="1" applyNumberFormat="1" applyFont="1" applyFill="1" applyBorder="1" applyAlignment="1">
      <alignment vertical="center" wrapText="1"/>
    </xf>
  </cellXfs>
  <cellStyles count="2">
    <cellStyle name="Normal" xfId="1"/>
    <cellStyle name="一般" xfId="0" builtinId="0"/>
  </cellStyles>
  <dxfs count="1">
    <dxf>
      <fill>
        <patternFill patternType="solid">
          <bgColor rgb="FFFFF0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Relationship Id="Rfcb4b11d191d4967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zh-TW" altLang="en-US"/>
              <a:t>品質比較（越高越好）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1"/>
          <c:cat>
            <c:strRef>
              <c:f>實驗摘要!$P$11:$P$14</c:f>
              <c:strCache>
                <c:ptCount val="4"/>
                <c:pt idx="0">
                  <c:v>OTP Top-1 正確率</c:v>
                </c:pt>
                <c:pt idx="1">
                  <c:v>OTP Top-3 正確率</c:v>
                </c:pt>
                <c:pt idx="2">
                  <c:v>驗證連結擷取率</c:v>
                </c:pt>
                <c:pt idx="3">
                  <c:v>負樣本正確拒絕率</c:v>
                </c:pt>
              </c:strCache>
            </c:strRef>
          </c:cat>
          <c:val>
            <c:numRef>
              <c:f>實驗摘要!$Q$11:$Q$14</c:f>
              <c:numCache>
                <c:formatCode>0%</c:formatCode>
                <c:ptCount val="4"/>
                <c:pt idx="0">
                  <c:v>0.85436893203883491</c:v>
                </c:pt>
                <c:pt idx="1">
                  <c:v>0.86407766990291257</c:v>
                </c:pt>
                <c:pt idx="2">
                  <c:v>0.7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E-40BB-949E-FAC6C02EEABB}"/>
            </c:ext>
          </c:extLst>
        </c:ser>
        <c:ser>
          <c:idx val="1"/>
          <c:order val="1"/>
          <c:tx>
            <c:v>Regex+BGE</c:v>
          </c:tx>
          <c:invertIfNegative val="1"/>
          <c:cat>
            <c:strRef>
              <c:f>實驗摘要!$P$11:$P$14</c:f>
              <c:strCache>
                <c:ptCount val="4"/>
                <c:pt idx="0">
                  <c:v>OTP Top-1 正確率</c:v>
                </c:pt>
                <c:pt idx="1">
                  <c:v>OTP Top-3 正確率</c:v>
                </c:pt>
                <c:pt idx="2">
                  <c:v>驗證連結擷取率</c:v>
                </c:pt>
                <c:pt idx="3">
                  <c:v>負樣本正確拒絕率</c:v>
                </c:pt>
              </c:strCache>
            </c:strRef>
          </c:cat>
          <c:val>
            <c:numRef>
              <c:f>實驗摘要!$R$11:$R$14</c:f>
              <c:numCache>
                <c:formatCode>0%</c:formatCode>
                <c:ptCount val="4"/>
                <c:pt idx="0">
                  <c:v>0.88349514563106801</c:v>
                </c:pt>
                <c:pt idx="1">
                  <c:v>0.92233009708737868</c:v>
                </c:pt>
                <c:pt idx="2">
                  <c:v>0.7</c:v>
                </c:pt>
                <c:pt idx="3">
                  <c:v>0.66666666666666674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7E-40BB-949E-FAC6C02EEABB}"/>
            </c:ext>
          </c:extLst>
        </c:ser>
        <c:ser>
          <c:idx val="2"/>
          <c:order val="2"/>
          <c:tx>
            <c:v>Hybrid</c:v>
          </c:tx>
          <c:invertIfNegative val="1"/>
          <c:cat>
            <c:strRef>
              <c:f>實驗摘要!$P$11:$P$14</c:f>
              <c:strCache>
                <c:ptCount val="4"/>
                <c:pt idx="0">
                  <c:v>OTP Top-1 正確率</c:v>
                </c:pt>
                <c:pt idx="1">
                  <c:v>OTP Top-3 正確率</c:v>
                </c:pt>
                <c:pt idx="2">
                  <c:v>驗證連結擷取率</c:v>
                </c:pt>
                <c:pt idx="3">
                  <c:v>負樣本正確拒絕率</c:v>
                </c:pt>
              </c:strCache>
            </c:strRef>
          </c:cat>
          <c:val>
            <c:numRef>
              <c:f>實驗摘要!$S$11:$S$14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7E-40BB-949E-FAC6C02EEABB}"/>
            </c:ext>
          </c:extLst>
        </c:ser>
        <c:ser>
          <c:idx val="3"/>
          <c:order val="3"/>
          <c:tx>
            <c:v>Regex+OpenAI</c:v>
          </c:tx>
          <c:invertIfNegative val="1"/>
          <c:cat>
            <c:strRef>
              <c:f>實驗摘要!$P$11:$P$14</c:f>
              <c:strCache>
                <c:ptCount val="4"/>
                <c:pt idx="0">
                  <c:v>OTP Top-1 正確率</c:v>
                </c:pt>
                <c:pt idx="1">
                  <c:v>OTP Top-3 正確率</c:v>
                </c:pt>
                <c:pt idx="2">
                  <c:v>驗證連結擷取率</c:v>
                </c:pt>
                <c:pt idx="3">
                  <c:v>負樣本正確拒絕率</c:v>
                </c:pt>
              </c:strCache>
            </c:strRef>
          </c:cat>
          <c:val>
            <c:numRef>
              <c:f>實驗摘要!$T$11:$T$14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17E-40BB-949E-FAC6C02EE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zh-TW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/>
          <a:lstStyle/>
          <a:p>
            <a:r>
              <a:rPr lang="en-US"/>
              <a:t>API </a:t>
            </a:r>
            <a:r>
              <a:rPr lang="zh-TW" altLang="en-US"/>
              <a:t>外部成本 </a:t>
            </a:r>
            <a:r>
              <a:rPr lang="en-US" altLang="zh-TW"/>
              <a:t>(</a:t>
            </a:r>
            <a:r>
              <a:rPr lang="en-US"/>
              <a:t>USD)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zh-TW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0</xdr:row>
      <xdr:rowOff>0</xdr:rowOff>
    </xdr:from>
    <xdr:to>
      <xdr:col>24</xdr:col>
      <xdr:colOff>0</xdr:colOff>
      <xdr:row>9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20</xdr:row>
      <xdr:rowOff>0</xdr:rowOff>
    </xdr:from>
    <xdr:to>
      <xdr:col>24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id="2" name="AllResultsTable" displayName="AllResultsTable" ref="A5:T133" totalsRowShown="0">
  <autoFilter ref="A5:T133"/>
  <tableColumns count="20">
    <tableColumn id="1" name="序號"/>
    <tableColumn id="2" name="ID"/>
    <tableColumn id="3" name="來源"/>
    <tableColumn id="4" name="類別"/>
    <tableColumn id="5" name="Ground truth"/>
    <tableColumn id="6" name="Regex 候選"/>
    <tableColumn id="7" name="BGE Top-3"/>
    <tableColumn id="8" name="Hybrid 路由"/>
    <tableColumn id="9" name="Hybrid Top-1"/>
    <tableColumn id="10" name="Hybrid Top-3"/>
    <tableColumn id="11" name="Regex+OpenAI 路由"/>
    <tableColumn id="12" name="Regex+OpenAI Top-1"/>
    <tableColumn id="13" name="Regex+OpenAI Top-3"/>
    <tableColumn id="14" name="Top-1 相同"/>
    <tableColumn id="15" name="OTP Top-1 正確"/>
    <tableColumn id="16" name="OTP Top-3 正確"/>
    <tableColumn id="17" name="URL 正確"/>
    <tableColumn id="18" name="負樣本誤抽"/>
    <tableColumn id="19" name="OpenAI 延遲 ms"/>
    <tableColumn id="20" name="OpenAI 成本 US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APICallsTable" displayName="APICallsTable" ref="A5:N194" totalsRowShown="0">
  <autoFilter ref="A5:N194"/>
  <tableColumns count="14">
    <tableColumn id="1" name="架構"/>
    <tableColumn id="2" name="序號"/>
    <tableColumn id="3" name="ID"/>
    <tableColumn id="4" name="類別"/>
    <tableColumn id="5" name="路由"/>
    <tableColumn id="6" name="訊息類型"/>
    <tableColumn id="7" name="原因碼"/>
    <tableColumn id="8" name="選擇結果"/>
    <tableColumn id="9" name="延遲 ms"/>
    <tableColumn id="10" name="輸入 tokens"/>
    <tableColumn id="11" name="快取 tokens"/>
    <tableColumn id="12" name="Cache-write tokens"/>
    <tableColumn id="13" name="輸出 tokens"/>
    <tableColumn id="14" name="成本 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showGridLines="0" topLeftCell="N13" workbookViewId="0">
      <selection activeCell="R19" sqref="R19"/>
    </sheetView>
  </sheetViews>
  <sheetFormatPr defaultRowHeight="14"/>
  <cols>
    <col min="1" max="1" width="25" customWidth="1"/>
    <col min="2" max="2" width="14" customWidth="1"/>
    <col min="3" max="14" width="13" customWidth="1"/>
    <col min="16" max="16" width="25" customWidth="1"/>
    <col min="17" max="20" width="13" customWidth="1"/>
  </cols>
  <sheetData>
    <row r="1" spans="1:20" ht="30" customHeight="1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1"/>
      <c r="P1" s="1"/>
      <c r="Q1" s="1"/>
      <c r="R1" s="1"/>
      <c r="S1" s="1"/>
      <c r="T1" s="1"/>
    </row>
    <row r="2" spans="1:20" ht="30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1"/>
      <c r="P2" s="1"/>
      <c r="Q2" s="1"/>
      <c r="R2" s="1"/>
      <c r="S2" s="1"/>
      <c r="T2" s="1"/>
    </row>
    <row r="3" spans="1:20">
      <c r="A3" s="33" t="s">
        <v>1</v>
      </c>
      <c r="B3" s="33" t="s">
        <v>1</v>
      </c>
      <c r="C3" s="33" t="s">
        <v>1</v>
      </c>
      <c r="D3" s="33" t="s">
        <v>1</v>
      </c>
      <c r="E3" s="33" t="s">
        <v>1</v>
      </c>
      <c r="F3" s="33" t="s">
        <v>1</v>
      </c>
      <c r="G3" s="33" t="s">
        <v>1</v>
      </c>
      <c r="H3" s="33" t="s">
        <v>1</v>
      </c>
      <c r="I3" s="33" t="s">
        <v>1</v>
      </c>
      <c r="J3" s="33" t="s">
        <v>1</v>
      </c>
      <c r="K3" s="33" t="s">
        <v>1</v>
      </c>
      <c r="L3" s="33" t="s">
        <v>1</v>
      </c>
      <c r="M3" s="33" t="s">
        <v>1</v>
      </c>
      <c r="N3" s="33" t="s">
        <v>1</v>
      </c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34" t="s">
        <v>2</v>
      </c>
      <c r="B5" s="34"/>
      <c r="C5" s="34"/>
      <c r="D5" s="34" t="s">
        <v>3</v>
      </c>
      <c r="E5" s="34"/>
      <c r="F5" s="34"/>
      <c r="G5" s="34" t="s">
        <v>4</v>
      </c>
      <c r="H5" s="34"/>
      <c r="I5" s="34"/>
      <c r="J5" s="34" t="s">
        <v>5</v>
      </c>
      <c r="K5" s="34"/>
      <c r="L5" s="34"/>
      <c r="M5" s="1"/>
      <c r="N5" s="1"/>
      <c r="O5" s="1"/>
      <c r="P5" s="1"/>
      <c r="Q5" s="1"/>
      <c r="R5" s="1"/>
      <c r="S5" s="1"/>
      <c r="T5" s="1"/>
    </row>
    <row r="6" spans="1:20">
      <c r="A6" s="35" t="s">
        <v>6</v>
      </c>
      <c r="B6" s="36"/>
      <c r="C6" s="37"/>
      <c r="D6" s="35">
        <v>123</v>
      </c>
      <c r="E6" s="36"/>
      <c r="F6" s="37"/>
      <c r="G6" s="41">
        <v>2.2115820000000001E-2</v>
      </c>
      <c r="H6" s="36"/>
      <c r="I6" s="37"/>
      <c r="J6" s="42">
        <f>外部成本!M12</f>
        <v>0.19187260522105898</v>
      </c>
      <c r="K6" s="36"/>
      <c r="L6" s="37"/>
      <c r="M6" s="1"/>
      <c r="N6" s="1"/>
      <c r="O6" s="1"/>
      <c r="P6" s="1"/>
      <c r="Q6" s="1"/>
      <c r="R6" s="1"/>
      <c r="S6" s="1"/>
      <c r="T6" s="1"/>
    </row>
    <row r="7" spans="1:20">
      <c r="A7" s="38"/>
      <c r="B7" s="39"/>
      <c r="C7" s="40"/>
      <c r="D7" s="38"/>
      <c r="E7" s="39"/>
      <c r="F7" s="40"/>
      <c r="G7" s="38"/>
      <c r="H7" s="39"/>
      <c r="I7" s="40"/>
      <c r="J7" s="38"/>
      <c r="K7" s="39"/>
      <c r="L7" s="40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26">
      <c r="A10" s="28" t="s">
        <v>7</v>
      </c>
      <c r="B10" s="29" t="s">
        <v>8</v>
      </c>
      <c r="C10" s="29" t="s">
        <v>9</v>
      </c>
      <c r="D10" s="29" t="s">
        <v>10</v>
      </c>
      <c r="E10" s="29" t="s">
        <v>11</v>
      </c>
      <c r="F10" s="29" t="s">
        <v>12</v>
      </c>
      <c r="G10" s="29" t="s">
        <v>13</v>
      </c>
      <c r="H10" s="29" t="s">
        <v>14</v>
      </c>
      <c r="I10" s="29" t="s">
        <v>15</v>
      </c>
      <c r="J10" s="29" t="s">
        <v>16</v>
      </c>
      <c r="K10" s="29" t="s">
        <v>17</v>
      </c>
      <c r="L10" s="29" t="s">
        <v>18</v>
      </c>
      <c r="M10" s="29" t="s">
        <v>19</v>
      </c>
      <c r="N10" s="30" t="s">
        <v>20</v>
      </c>
      <c r="O10" s="1"/>
      <c r="P10" s="1" t="s">
        <v>7</v>
      </c>
      <c r="Q10" s="1" t="s">
        <v>21</v>
      </c>
      <c r="R10" s="1" t="s">
        <v>22</v>
      </c>
      <c r="S10" s="1" t="s">
        <v>23</v>
      </c>
      <c r="T10" s="1" t="s">
        <v>24</v>
      </c>
    </row>
    <row r="11" spans="1:20">
      <c r="A11" s="2" t="s">
        <v>25</v>
      </c>
      <c r="B11" s="2" t="s">
        <v>26</v>
      </c>
      <c r="C11" s="2">
        <v>88</v>
      </c>
      <c r="D11" s="2">
        <v>103</v>
      </c>
      <c r="E11" s="3">
        <f>C11/D11</f>
        <v>0.85436893203883491</v>
      </c>
      <c r="F11" s="2">
        <v>91</v>
      </c>
      <c r="G11" s="2">
        <v>103</v>
      </c>
      <c r="H11" s="3">
        <f>F11/G11</f>
        <v>0.88349514563106801</v>
      </c>
      <c r="I11" s="2">
        <v>103</v>
      </c>
      <c r="J11" s="2">
        <v>103</v>
      </c>
      <c r="K11" s="4">
        <f>I11/J11</f>
        <v>1</v>
      </c>
      <c r="L11" s="5">
        <v>103</v>
      </c>
      <c r="M11" s="5">
        <v>103</v>
      </c>
      <c r="N11" s="4">
        <f>L11/M11</f>
        <v>1</v>
      </c>
      <c r="O11" s="1"/>
      <c r="P11" s="1" t="s">
        <v>25</v>
      </c>
      <c r="Q11" s="6">
        <f>E11</f>
        <v>0.85436893203883491</v>
      </c>
      <c r="R11" s="6">
        <f>H11</f>
        <v>0.88349514563106801</v>
      </c>
      <c r="S11" s="6">
        <f>K11</f>
        <v>1</v>
      </c>
      <c r="T11" s="6">
        <f>N11</f>
        <v>1</v>
      </c>
    </row>
    <row r="12" spans="1:20">
      <c r="A12" s="7" t="s">
        <v>27</v>
      </c>
      <c r="B12" s="7" t="s">
        <v>26</v>
      </c>
      <c r="C12" s="7">
        <v>89</v>
      </c>
      <c r="D12" s="7">
        <v>103</v>
      </c>
      <c r="E12" s="8">
        <f>C12/D12</f>
        <v>0.86407766990291257</v>
      </c>
      <c r="F12" s="7">
        <v>95</v>
      </c>
      <c r="G12" s="7">
        <v>103</v>
      </c>
      <c r="H12" s="8">
        <f>F12/G12</f>
        <v>0.92233009708737868</v>
      </c>
      <c r="I12" s="7">
        <v>103</v>
      </c>
      <c r="J12" s="7">
        <v>103</v>
      </c>
      <c r="K12" s="9">
        <f>I12/J12</f>
        <v>1</v>
      </c>
      <c r="L12" s="10">
        <v>103</v>
      </c>
      <c r="M12" s="10">
        <v>103</v>
      </c>
      <c r="N12" s="9">
        <f>L12/M12</f>
        <v>1</v>
      </c>
      <c r="O12" s="1"/>
      <c r="P12" s="1" t="s">
        <v>27</v>
      </c>
      <c r="Q12" s="6">
        <f>E12</f>
        <v>0.86407766990291257</v>
      </c>
      <c r="R12" s="6">
        <f>H12</f>
        <v>0.92233009708737868</v>
      </c>
      <c r="S12" s="6">
        <f>K12</f>
        <v>1</v>
      </c>
      <c r="T12" s="6">
        <f>N12</f>
        <v>1</v>
      </c>
    </row>
    <row r="13" spans="1:20">
      <c r="A13" s="7" t="s">
        <v>28</v>
      </c>
      <c r="B13" s="7" t="s">
        <v>26</v>
      </c>
      <c r="C13" s="7">
        <v>7</v>
      </c>
      <c r="D13" s="7">
        <v>10</v>
      </c>
      <c r="E13" s="8">
        <f>C13/D13</f>
        <v>0.7</v>
      </c>
      <c r="F13" s="7">
        <v>7</v>
      </c>
      <c r="G13" s="7">
        <v>10</v>
      </c>
      <c r="H13" s="8">
        <f>F13/G13</f>
        <v>0.7</v>
      </c>
      <c r="I13" s="7">
        <v>7</v>
      </c>
      <c r="J13" s="7">
        <v>10</v>
      </c>
      <c r="K13" s="9">
        <f>I13/J13</f>
        <v>0.7</v>
      </c>
      <c r="L13" s="10">
        <v>7</v>
      </c>
      <c r="M13" s="10">
        <v>10</v>
      </c>
      <c r="N13" s="9">
        <f>L13/M13</f>
        <v>0.7</v>
      </c>
      <c r="O13" s="1"/>
      <c r="P13" s="1" t="s">
        <v>28</v>
      </c>
      <c r="Q13" s="6">
        <f>E13</f>
        <v>0.7</v>
      </c>
      <c r="R13" s="6">
        <f>H13</f>
        <v>0.7</v>
      </c>
      <c r="S13" s="6">
        <f>K13</f>
        <v>0.7</v>
      </c>
      <c r="T13" s="6">
        <f>N13</f>
        <v>0.7</v>
      </c>
    </row>
    <row r="14" spans="1:20">
      <c r="A14" s="7" t="s">
        <v>29</v>
      </c>
      <c r="B14" s="7" t="s">
        <v>30</v>
      </c>
      <c r="C14" s="7">
        <v>3</v>
      </c>
      <c r="D14" s="7">
        <v>15</v>
      </c>
      <c r="E14" s="8">
        <f>C14/D14</f>
        <v>0.2</v>
      </c>
      <c r="F14" s="7">
        <v>5</v>
      </c>
      <c r="G14" s="7">
        <v>15</v>
      </c>
      <c r="H14" s="8">
        <f>F14/G14</f>
        <v>0.33333333333333331</v>
      </c>
      <c r="I14" s="7">
        <v>0</v>
      </c>
      <c r="J14" s="7">
        <v>15</v>
      </c>
      <c r="K14" s="9">
        <f>I14/J14</f>
        <v>0</v>
      </c>
      <c r="L14" s="10">
        <v>0</v>
      </c>
      <c r="M14" s="10">
        <v>15</v>
      </c>
      <c r="N14" s="9">
        <f>L14/M14</f>
        <v>0</v>
      </c>
      <c r="O14" s="1"/>
      <c r="P14" s="1" t="s">
        <v>31</v>
      </c>
      <c r="Q14" s="6">
        <f>1-E14</f>
        <v>0.8</v>
      </c>
      <c r="R14" s="6">
        <f>1-H14</f>
        <v>0.66666666666666674</v>
      </c>
      <c r="S14" s="6">
        <f>1-K14</f>
        <v>1</v>
      </c>
      <c r="T14" s="6">
        <f>1-N14</f>
        <v>1</v>
      </c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28" t="s">
        <v>32</v>
      </c>
      <c r="B17" s="29" t="s">
        <v>33</v>
      </c>
      <c r="C17" s="29" t="s">
        <v>34</v>
      </c>
      <c r="D17" s="29" t="s">
        <v>35</v>
      </c>
      <c r="E17" s="29" t="s">
        <v>36</v>
      </c>
      <c r="F17" s="29" t="s">
        <v>37</v>
      </c>
      <c r="G17" s="29" t="s">
        <v>38</v>
      </c>
      <c r="H17" s="29" t="s">
        <v>39</v>
      </c>
      <c r="I17" s="29" t="s">
        <v>40</v>
      </c>
      <c r="J17" s="29" t="s">
        <v>41</v>
      </c>
      <c r="K17" s="29" t="s">
        <v>42</v>
      </c>
      <c r="L17" s="30" t="s">
        <v>43</v>
      </c>
      <c r="M17" s="1"/>
      <c r="N17" s="1"/>
      <c r="O17" s="1"/>
      <c r="P17" s="1"/>
      <c r="Q17" s="1"/>
      <c r="R17" s="1"/>
      <c r="S17" s="1"/>
      <c r="T17" s="1"/>
    </row>
    <row r="18" spans="1:20">
      <c r="A18" s="2" t="s">
        <v>22</v>
      </c>
      <c r="B18" s="2">
        <v>0</v>
      </c>
      <c r="C18" s="3">
        <v>0</v>
      </c>
      <c r="D18" s="2">
        <v>0</v>
      </c>
      <c r="E18" s="11">
        <v>0</v>
      </c>
      <c r="F18" s="11">
        <v>0</v>
      </c>
      <c r="G18" s="12"/>
      <c r="H18" s="12"/>
      <c r="I18" s="12"/>
      <c r="J18" s="12"/>
      <c r="K18" s="12">
        <v>0</v>
      </c>
      <c r="L18" s="2">
        <v>0</v>
      </c>
      <c r="M18" s="1"/>
      <c r="N18" s="1"/>
      <c r="O18" s="1"/>
      <c r="P18" s="1"/>
      <c r="Q18" s="1"/>
      <c r="R18" s="1"/>
      <c r="S18" s="1"/>
      <c r="T18" s="1"/>
    </row>
    <row r="19" spans="1:20">
      <c r="A19" s="7" t="s">
        <v>45</v>
      </c>
      <c r="B19" s="7">
        <v>66</v>
      </c>
      <c r="C19" s="8">
        <v>0.515625</v>
      </c>
      <c r="D19" s="7">
        <v>67682</v>
      </c>
      <c r="E19" s="13">
        <v>1.78724E-2</v>
      </c>
      <c r="F19" s="13">
        <v>0.139628</v>
      </c>
      <c r="G19" s="14">
        <v>1516</v>
      </c>
      <c r="H19" s="14">
        <v>1185</v>
      </c>
      <c r="I19" s="14">
        <v>2400</v>
      </c>
      <c r="J19" s="14">
        <v>8388</v>
      </c>
      <c r="K19" s="14">
        <v>100.07299999999999</v>
      </c>
      <c r="L19" s="7">
        <v>66</v>
      </c>
      <c r="M19" s="1"/>
      <c r="N19" s="1"/>
      <c r="O19" s="1"/>
      <c r="P19" s="1"/>
      <c r="Q19" s="1"/>
      <c r="R19" s="1"/>
      <c r="S19" s="1"/>
      <c r="T19" s="1"/>
    </row>
    <row r="20" spans="1:20">
      <c r="A20" s="15" t="s">
        <v>24</v>
      </c>
      <c r="B20" s="15">
        <v>123</v>
      </c>
      <c r="C20" s="16">
        <v>0.9609375</v>
      </c>
      <c r="D20" s="15">
        <v>82129</v>
      </c>
      <c r="E20" s="17">
        <v>2.2115820000000001E-2</v>
      </c>
      <c r="F20" s="17">
        <v>0.17277999999999999</v>
      </c>
      <c r="G20" s="18">
        <v>1435</v>
      </c>
      <c r="H20" s="18">
        <v>1255</v>
      </c>
      <c r="I20" s="18">
        <v>2303</v>
      </c>
      <c r="J20" s="18">
        <v>5129</v>
      </c>
      <c r="K20" s="18">
        <v>176.47800000000001</v>
      </c>
      <c r="L20" s="15">
        <v>123</v>
      </c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43" t="s">
        <v>46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1"/>
      <c r="P23" s="1"/>
      <c r="Q23" s="1"/>
      <c r="R23" s="1"/>
      <c r="S23" s="1"/>
      <c r="T23" s="1"/>
    </row>
    <row r="24" spans="1:20">
      <c r="A24" s="44" t="s">
        <v>47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/>
      <c r="O24" s="1"/>
      <c r="P24" s="1"/>
      <c r="Q24" s="1"/>
      <c r="R24" s="1"/>
      <c r="S24" s="1"/>
      <c r="T24" s="1"/>
    </row>
    <row r="25" spans="1:20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9"/>
      <c r="O25" s="1"/>
      <c r="P25" s="1"/>
      <c r="Q25" s="1"/>
      <c r="R25" s="1"/>
      <c r="S25" s="1"/>
      <c r="T25" s="1"/>
    </row>
    <row r="26" spans="1:20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9"/>
      <c r="O26" s="1"/>
      <c r="P26" s="1"/>
      <c r="Q26" s="1"/>
      <c r="R26" s="1"/>
      <c r="S26" s="1"/>
      <c r="T26" s="1"/>
    </row>
    <row r="27" spans="1:20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2"/>
      <c r="O27" s="1"/>
      <c r="P27" s="1"/>
      <c r="Q27" s="1"/>
      <c r="R27" s="1"/>
      <c r="S27" s="1"/>
      <c r="T27" s="1"/>
    </row>
  </sheetData>
  <mergeCells count="12">
    <mergeCell ref="A24:N27"/>
    <mergeCell ref="A6:C7"/>
    <mergeCell ref="D6:F7"/>
    <mergeCell ref="G6:I7"/>
    <mergeCell ref="J6:L7"/>
    <mergeCell ref="A23:N23"/>
    <mergeCell ref="A1:N2"/>
    <mergeCell ref="A3:N3"/>
    <mergeCell ref="A5:C5"/>
    <mergeCell ref="D5:F5"/>
    <mergeCell ref="G5:I5"/>
    <mergeCell ref="J5:L5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showGridLines="0" topLeftCell="A4" workbookViewId="0">
      <selection sqref="A1:M2"/>
    </sheetView>
  </sheetViews>
  <sheetFormatPr defaultRowHeight="14"/>
  <cols>
    <col min="1" max="1" width="28" customWidth="1"/>
    <col min="2" max="3" width="15" customWidth="1"/>
    <col min="4" max="4" width="54" customWidth="1"/>
    <col min="5" max="5" width="15" customWidth="1"/>
    <col min="6" max="6" width="55" customWidth="1"/>
    <col min="7" max="13" width="15" customWidth="1"/>
  </cols>
  <sheetData>
    <row r="1" spans="1:13" ht="30" customHeight="1">
      <c r="A1" s="31" t="s">
        <v>48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</row>
    <row r="2" spans="1:13" ht="30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>
      <c r="A3" s="33" t="s">
        <v>49</v>
      </c>
      <c r="B3" s="33" t="s">
        <v>49</v>
      </c>
      <c r="C3" s="33" t="s">
        <v>49</v>
      </c>
      <c r="D3" s="33" t="s">
        <v>49</v>
      </c>
      <c r="E3" s="33" t="s">
        <v>49</v>
      </c>
      <c r="F3" s="33" t="s">
        <v>49</v>
      </c>
      <c r="G3" s="33" t="s">
        <v>49</v>
      </c>
      <c r="H3" s="33" t="s">
        <v>49</v>
      </c>
      <c r="I3" s="33" t="s">
        <v>49</v>
      </c>
      <c r="J3" s="33" t="s">
        <v>49</v>
      </c>
      <c r="K3" s="33" t="s">
        <v>49</v>
      </c>
      <c r="L3" s="33" t="s">
        <v>49</v>
      </c>
      <c r="M3" s="33" t="s">
        <v>49</v>
      </c>
    </row>
    <row r="4" spans="1: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28" t="s">
        <v>50</v>
      </c>
      <c r="B5" s="29" t="s">
        <v>51</v>
      </c>
      <c r="C5" s="29" t="s">
        <v>52</v>
      </c>
      <c r="D5" s="30" t="s">
        <v>53</v>
      </c>
      <c r="E5" s="1"/>
      <c r="F5" s="1"/>
      <c r="G5" s="1"/>
      <c r="H5" s="1"/>
      <c r="I5" s="1"/>
      <c r="J5" s="1"/>
      <c r="K5" s="1"/>
      <c r="L5" s="1"/>
      <c r="M5" s="1"/>
    </row>
    <row r="6" spans="1:13">
      <c r="A6" s="2" t="s">
        <v>54</v>
      </c>
      <c r="B6" s="19">
        <v>0.2</v>
      </c>
      <c r="C6" s="2" t="s">
        <v>55</v>
      </c>
      <c r="D6" s="2" t="s">
        <v>56</v>
      </c>
      <c r="E6" s="1"/>
      <c r="F6" s="1"/>
      <c r="G6" s="1"/>
      <c r="H6" s="1"/>
      <c r="I6" s="1"/>
      <c r="J6" s="1"/>
      <c r="K6" s="1"/>
      <c r="L6" s="1"/>
      <c r="M6" s="1"/>
    </row>
    <row r="7" spans="1:13">
      <c r="A7" s="7" t="s">
        <v>57</v>
      </c>
      <c r="B7" s="20">
        <v>0.02</v>
      </c>
      <c r="C7" s="7" t="s">
        <v>55</v>
      </c>
      <c r="D7" s="7" t="s">
        <v>56</v>
      </c>
      <c r="E7" s="1"/>
      <c r="F7" s="1"/>
      <c r="G7" s="1"/>
      <c r="H7" s="1"/>
      <c r="I7" s="1"/>
      <c r="J7" s="1"/>
      <c r="K7" s="1"/>
      <c r="L7" s="1"/>
      <c r="M7" s="1"/>
    </row>
    <row r="8" spans="1:13">
      <c r="A8" s="7" t="s">
        <v>58</v>
      </c>
      <c r="B8" s="20">
        <v>0.25</v>
      </c>
      <c r="C8" s="7" t="s">
        <v>55</v>
      </c>
      <c r="D8" s="7" t="s">
        <v>56</v>
      </c>
      <c r="E8" s="1"/>
      <c r="F8" s="1"/>
      <c r="G8" s="1"/>
      <c r="H8" s="1"/>
      <c r="I8" s="1"/>
      <c r="J8" s="1"/>
      <c r="K8" s="1"/>
      <c r="L8" s="1"/>
      <c r="M8" s="1"/>
    </row>
    <row r="9" spans="1:13">
      <c r="A9" s="7" t="s">
        <v>59</v>
      </c>
      <c r="B9" s="20">
        <v>1.2</v>
      </c>
      <c r="C9" s="7" t="s">
        <v>55</v>
      </c>
      <c r="D9" s="7" t="s">
        <v>56</v>
      </c>
      <c r="E9" s="1"/>
      <c r="F9" s="1"/>
      <c r="G9" s="1"/>
      <c r="H9" s="1"/>
      <c r="I9" s="1"/>
      <c r="J9" s="1"/>
      <c r="K9" s="1"/>
      <c r="L9" s="1"/>
      <c r="M9" s="1"/>
    </row>
    <row r="10" spans="1:1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6">
      <c r="A11" s="28" t="s">
        <v>32</v>
      </c>
      <c r="B11" s="29" t="s">
        <v>60</v>
      </c>
      <c r="C11" s="29" t="s">
        <v>61</v>
      </c>
      <c r="D11" s="29" t="s">
        <v>62</v>
      </c>
      <c r="E11" s="29" t="s">
        <v>63</v>
      </c>
      <c r="F11" s="29" t="s">
        <v>64</v>
      </c>
      <c r="G11" s="29" t="s">
        <v>65</v>
      </c>
      <c r="H11" s="29" t="s">
        <v>66</v>
      </c>
      <c r="I11" s="29" t="s">
        <v>33</v>
      </c>
      <c r="J11" s="29" t="s">
        <v>34</v>
      </c>
      <c r="K11" s="29" t="s">
        <v>67</v>
      </c>
      <c r="L11" s="29" t="s">
        <v>68</v>
      </c>
      <c r="M11" s="30" t="s">
        <v>69</v>
      </c>
    </row>
    <row r="12" spans="1:13">
      <c r="A12" s="5" t="s">
        <v>45</v>
      </c>
      <c r="B12" s="5">
        <v>64907</v>
      </c>
      <c r="C12" s="5">
        <v>0</v>
      </c>
      <c r="D12" s="5">
        <v>31220</v>
      </c>
      <c r="E12" s="5">
        <f>B12-C12-D12</f>
        <v>33687</v>
      </c>
      <c r="F12" s="5">
        <v>2775</v>
      </c>
      <c r="G12" s="21">
        <f>(E12*$B$6+C12*$B$7+D12*$B$8+F12*$B$9)/1000000</f>
        <v>1.78724E-2</v>
      </c>
      <c r="H12" s="21">
        <v>1.78724E-2</v>
      </c>
      <c r="I12" s="5">
        <v>66</v>
      </c>
      <c r="J12" s="4">
        <v>0.515625</v>
      </c>
      <c r="K12" s="5">
        <v>100.07299999999999</v>
      </c>
      <c r="L12" s="4">
        <f>H12/$H$13</f>
        <v>0.80812739477894102</v>
      </c>
      <c r="M12" s="4">
        <f>1-L12</f>
        <v>0.19187260522105898</v>
      </c>
    </row>
    <row r="13" spans="1:13">
      <c r="A13" s="7" t="s">
        <v>24</v>
      </c>
      <c r="B13" s="7">
        <v>77034</v>
      </c>
      <c r="C13" s="7">
        <v>1066</v>
      </c>
      <c r="D13" s="7">
        <v>15738</v>
      </c>
      <c r="E13" s="7">
        <f>B13-C13-D13</f>
        <v>60230</v>
      </c>
      <c r="F13" s="7">
        <v>5095</v>
      </c>
      <c r="G13" s="22">
        <f>(E13*$B$6+C13*$B$7+D13*$B$8+F13*$B$9)/1000000</f>
        <v>2.2115820000000001E-2</v>
      </c>
      <c r="H13" s="22">
        <v>2.2115820000000001E-2</v>
      </c>
      <c r="I13" s="7">
        <v>123</v>
      </c>
      <c r="J13" s="8">
        <v>0.9609375</v>
      </c>
      <c r="K13" s="7">
        <v>176.47800000000001</v>
      </c>
      <c r="L13" s="8">
        <f>H13/$H$13</f>
        <v>1</v>
      </c>
      <c r="M13" s="8">
        <f>1-L13</f>
        <v>0</v>
      </c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28" t="s">
        <v>70</v>
      </c>
      <c r="B16" s="29" t="s">
        <v>23</v>
      </c>
      <c r="C16" s="29" t="s">
        <v>24</v>
      </c>
      <c r="D16" s="29" t="s">
        <v>71</v>
      </c>
      <c r="E16" s="29" t="s">
        <v>72</v>
      </c>
      <c r="F16" s="30" t="s">
        <v>73</v>
      </c>
      <c r="G16" s="1"/>
      <c r="H16" s="1"/>
      <c r="I16" s="1"/>
      <c r="J16" s="1"/>
      <c r="K16" s="1"/>
      <c r="L16" s="1"/>
      <c r="M16" s="1"/>
    </row>
    <row r="17" spans="1:13">
      <c r="A17" s="2" t="s">
        <v>44</v>
      </c>
      <c r="B17" s="2">
        <v>66</v>
      </c>
      <c r="C17" s="2">
        <v>123</v>
      </c>
      <c r="D17" s="2">
        <f t="shared" ref="D17:D22" si="0">C17-B17</f>
        <v>57</v>
      </c>
      <c r="E17" s="23">
        <f t="shared" ref="E17:E22" si="1">IF(B17=0,"",C17/B17-1)</f>
        <v>0.86363636363636354</v>
      </c>
      <c r="F17" s="2" t="s">
        <v>74</v>
      </c>
      <c r="G17" s="1"/>
      <c r="H17" s="1"/>
      <c r="I17" s="1"/>
      <c r="J17" s="1"/>
      <c r="K17" s="1"/>
      <c r="L17" s="1"/>
      <c r="M17" s="1"/>
    </row>
    <row r="18" spans="1:13">
      <c r="A18" s="7" t="s">
        <v>75</v>
      </c>
      <c r="B18" s="8">
        <v>0.515625</v>
      </c>
      <c r="C18" s="8">
        <v>0.9609375</v>
      </c>
      <c r="D18" s="8">
        <f t="shared" si="0"/>
        <v>0.4453125</v>
      </c>
      <c r="E18" s="24">
        <f t="shared" si="1"/>
        <v>0.86363636363636354</v>
      </c>
      <c r="F18" s="7" t="s">
        <v>76</v>
      </c>
      <c r="G18" s="1"/>
      <c r="H18" s="1"/>
      <c r="I18" s="1"/>
      <c r="J18" s="1"/>
      <c r="K18" s="1"/>
      <c r="L18" s="1"/>
      <c r="M18" s="1"/>
    </row>
    <row r="19" spans="1:13">
      <c r="A19" s="7" t="s">
        <v>35</v>
      </c>
      <c r="B19" s="7">
        <v>67682</v>
      </c>
      <c r="C19" s="7">
        <v>82129</v>
      </c>
      <c r="D19" s="7">
        <f t="shared" si="0"/>
        <v>14447</v>
      </c>
      <c r="E19" s="24">
        <f t="shared" si="1"/>
        <v>0.21345409414615402</v>
      </c>
      <c r="F19" s="7" t="s">
        <v>77</v>
      </c>
      <c r="G19" s="1"/>
      <c r="H19" s="1"/>
      <c r="I19" s="1"/>
      <c r="J19" s="1"/>
      <c r="K19" s="1"/>
      <c r="L19" s="1"/>
      <c r="M19" s="1"/>
    </row>
    <row r="20" spans="1:13">
      <c r="A20" s="7" t="s">
        <v>36</v>
      </c>
      <c r="B20" s="13">
        <v>1.78724E-2</v>
      </c>
      <c r="C20" s="13">
        <v>2.2115820000000001E-2</v>
      </c>
      <c r="D20" s="13">
        <f t="shared" si="0"/>
        <v>4.2434200000000012E-3</v>
      </c>
      <c r="E20" s="24">
        <f t="shared" si="1"/>
        <v>0.23742866095208259</v>
      </c>
      <c r="F20" s="7" t="s">
        <v>78</v>
      </c>
      <c r="G20" s="1"/>
      <c r="H20" s="1"/>
      <c r="I20" s="1"/>
      <c r="J20" s="1"/>
      <c r="K20" s="1"/>
      <c r="L20" s="1"/>
      <c r="M20" s="1"/>
    </row>
    <row r="21" spans="1:13">
      <c r="A21" s="7" t="s">
        <v>79</v>
      </c>
      <c r="B21" s="7">
        <v>100.07299999999999</v>
      </c>
      <c r="C21" s="7">
        <v>176.47800000000001</v>
      </c>
      <c r="D21" s="7">
        <f t="shared" si="0"/>
        <v>76.405000000000015</v>
      </c>
      <c r="E21" s="24">
        <f t="shared" si="1"/>
        <v>0.76349265036523351</v>
      </c>
      <c r="F21" s="7" t="s">
        <v>80</v>
      </c>
      <c r="G21" s="1"/>
      <c r="H21" s="1"/>
      <c r="I21" s="1"/>
      <c r="J21" s="1"/>
      <c r="K21" s="1"/>
      <c r="L21" s="1"/>
      <c r="M21" s="1"/>
    </row>
    <row r="22" spans="1:13">
      <c r="A22" s="7" t="s">
        <v>81</v>
      </c>
      <c r="B22" s="7">
        <v>1516</v>
      </c>
      <c r="C22" s="7">
        <v>1435</v>
      </c>
      <c r="D22" s="7">
        <f t="shared" si="0"/>
        <v>-81</v>
      </c>
      <c r="E22" s="24">
        <f t="shared" si="1"/>
        <v>-5.3430079155672772E-2</v>
      </c>
      <c r="F22" s="7" t="s">
        <v>82</v>
      </c>
      <c r="G22" s="1"/>
      <c r="H22" s="1"/>
      <c r="I22" s="1"/>
      <c r="J22" s="1"/>
      <c r="K22" s="1"/>
      <c r="L22" s="1"/>
      <c r="M22" s="1"/>
    </row>
  </sheetData>
  <mergeCells count="2">
    <mergeCell ref="A1:M2"/>
    <mergeCell ref="A3:M3"/>
  </mergeCells>
  <phoneticPr fontId="7" type="noConversion"/>
  <conditionalFormatting sqref="A17:F22">
    <cfRule type="expression" dxfId="0" priority="1">
      <formula>$D17&gt;0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3"/>
  <sheetViews>
    <sheetView showGridLines="0" workbookViewId="0">
      <selection sqref="A1:T2"/>
    </sheetView>
  </sheetViews>
  <sheetFormatPr defaultRowHeight="14"/>
  <cols>
    <col min="1" max="4" width="13" customWidth="1"/>
    <col min="5" max="7" width="26" customWidth="1"/>
    <col min="8" max="13" width="23" customWidth="1"/>
    <col min="14" max="20" width="13" customWidth="1"/>
  </cols>
  <sheetData>
    <row r="1" spans="1:20" ht="30" customHeight="1">
      <c r="A1" s="31" t="s">
        <v>100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0" ht="30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1:20">
      <c r="A3" s="33" t="s">
        <v>101</v>
      </c>
      <c r="B3" s="33" t="s">
        <v>101</v>
      </c>
      <c r="C3" s="33" t="s">
        <v>101</v>
      </c>
      <c r="D3" s="33" t="s">
        <v>101</v>
      </c>
      <c r="E3" s="33" t="s">
        <v>101</v>
      </c>
      <c r="F3" s="33" t="s">
        <v>101</v>
      </c>
      <c r="G3" s="33" t="s">
        <v>101</v>
      </c>
      <c r="H3" s="33" t="s">
        <v>101</v>
      </c>
      <c r="I3" s="33" t="s">
        <v>101</v>
      </c>
      <c r="J3" s="33" t="s">
        <v>101</v>
      </c>
      <c r="K3" s="33" t="s">
        <v>101</v>
      </c>
      <c r="L3" s="33" t="s">
        <v>101</v>
      </c>
      <c r="M3" s="33" t="s">
        <v>101</v>
      </c>
      <c r="N3" s="33" t="s">
        <v>101</v>
      </c>
      <c r="O3" s="33" t="s">
        <v>101</v>
      </c>
      <c r="P3" s="33" t="s">
        <v>101</v>
      </c>
      <c r="Q3" s="33" t="s">
        <v>101</v>
      </c>
      <c r="R3" s="33" t="s">
        <v>101</v>
      </c>
      <c r="S3" s="33" t="s">
        <v>101</v>
      </c>
      <c r="T3" s="33" t="s">
        <v>101</v>
      </c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26">
      <c r="A5" s="28" t="s">
        <v>83</v>
      </c>
      <c r="B5" s="29" t="s">
        <v>84</v>
      </c>
      <c r="C5" s="29" t="s">
        <v>53</v>
      </c>
      <c r="D5" s="29" t="s">
        <v>85</v>
      </c>
      <c r="E5" s="29" t="s">
        <v>86</v>
      </c>
      <c r="F5" s="29" t="s">
        <v>102</v>
      </c>
      <c r="G5" s="29" t="s">
        <v>103</v>
      </c>
      <c r="H5" s="29" t="s">
        <v>104</v>
      </c>
      <c r="I5" s="29" t="s">
        <v>87</v>
      </c>
      <c r="J5" s="29" t="s">
        <v>88</v>
      </c>
      <c r="K5" s="29" t="s">
        <v>105</v>
      </c>
      <c r="L5" s="29" t="s">
        <v>89</v>
      </c>
      <c r="M5" s="29" t="s">
        <v>90</v>
      </c>
      <c r="N5" s="29" t="s">
        <v>106</v>
      </c>
      <c r="O5" s="29" t="s">
        <v>107</v>
      </c>
      <c r="P5" s="29" t="s">
        <v>108</v>
      </c>
      <c r="Q5" s="29" t="s">
        <v>109</v>
      </c>
      <c r="R5" s="29" t="s">
        <v>110</v>
      </c>
      <c r="S5" s="29" t="s">
        <v>111</v>
      </c>
      <c r="T5" s="30" t="s">
        <v>112</v>
      </c>
    </row>
    <row r="6" spans="1:20" ht="22" customHeight="1">
      <c r="A6" s="2">
        <v>1</v>
      </c>
      <c r="B6" s="2">
        <v>1</v>
      </c>
      <c r="C6" s="2" t="s">
        <v>113</v>
      </c>
      <c r="D6" s="2" t="s">
        <v>95</v>
      </c>
      <c r="E6" s="2" t="s">
        <v>114</v>
      </c>
      <c r="F6" s="2" t="s">
        <v>114</v>
      </c>
      <c r="G6" s="2" t="s">
        <v>114</v>
      </c>
      <c r="H6" s="2" t="s">
        <v>115</v>
      </c>
      <c r="I6" s="2" t="s">
        <v>114</v>
      </c>
      <c r="J6" s="2" t="s">
        <v>114</v>
      </c>
      <c r="K6" s="2" t="s">
        <v>116</v>
      </c>
      <c r="L6" s="2" t="s">
        <v>114</v>
      </c>
      <c r="M6" s="2" t="s">
        <v>114</v>
      </c>
      <c r="N6" s="25" t="b">
        <v>1</v>
      </c>
      <c r="O6" s="25" t="b">
        <v>1</v>
      </c>
      <c r="P6" s="25" t="b">
        <v>1</v>
      </c>
      <c r="Q6" s="25" t="b">
        <v>0</v>
      </c>
      <c r="R6" s="25" t="b">
        <v>0</v>
      </c>
      <c r="S6" s="2">
        <v>2781</v>
      </c>
      <c r="T6" s="26">
        <v>1.3759999999999998E-4</v>
      </c>
    </row>
    <row r="7" spans="1:20" ht="22" customHeight="1">
      <c r="A7" s="7">
        <v>2</v>
      </c>
      <c r="B7" s="7">
        <v>2</v>
      </c>
      <c r="C7" s="7" t="s">
        <v>113</v>
      </c>
      <c r="D7" s="7" t="s">
        <v>95</v>
      </c>
      <c r="E7" s="7" t="s">
        <v>117</v>
      </c>
      <c r="F7" s="7" t="s">
        <v>117</v>
      </c>
      <c r="G7" s="7" t="s">
        <v>117</v>
      </c>
      <c r="H7" s="7" t="s">
        <v>118</v>
      </c>
      <c r="I7" s="7" t="s">
        <v>117</v>
      </c>
      <c r="J7" s="7" t="s">
        <v>117</v>
      </c>
      <c r="K7" s="7" t="s">
        <v>116</v>
      </c>
      <c r="L7" s="7" t="s">
        <v>117</v>
      </c>
      <c r="M7" s="7" t="s">
        <v>117</v>
      </c>
      <c r="N7" s="27" t="b">
        <v>1</v>
      </c>
      <c r="O7" s="27" t="b">
        <v>1</v>
      </c>
      <c r="P7" s="27" t="b">
        <v>1</v>
      </c>
      <c r="Q7" s="27" t="b">
        <v>0</v>
      </c>
      <c r="R7" s="27" t="b">
        <v>0</v>
      </c>
      <c r="S7" s="7">
        <v>1548</v>
      </c>
      <c r="T7" s="22">
        <v>1.2720000000000003E-4</v>
      </c>
    </row>
    <row r="8" spans="1:20" ht="22" customHeight="1">
      <c r="A8" s="7">
        <v>3</v>
      </c>
      <c r="B8" s="7">
        <v>3</v>
      </c>
      <c r="C8" s="7" t="s">
        <v>113</v>
      </c>
      <c r="D8" s="7" t="s">
        <v>95</v>
      </c>
      <c r="E8" s="7" t="s">
        <v>119</v>
      </c>
      <c r="F8" s="7" t="s">
        <v>119</v>
      </c>
      <c r="G8" s="7" t="s">
        <v>119</v>
      </c>
      <c r="H8" s="7" t="s">
        <v>118</v>
      </c>
      <c r="I8" s="7" t="s">
        <v>119</v>
      </c>
      <c r="J8" s="7" t="s">
        <v>119</v>
      </c>
      <c r="K8" s="7" t="s">
        <v>116</v>
      </c>
      <c r="L8" s="7" t="s">
        <v>119</v>
      </c>
      <c r="M8" s="7" t="s">
        <v>119</v>
      </c>
      <c r="N8" s="27" t="b">
        <v>1</v>
      </c>
      <c r="O8" s="27" t="b">
        <v>1</v>
      </c>
      <c r="P8" s="27" t="b">
        <v>1</v>
      </c>
      <c r="Q8" s="27" t="b">
        <v>0</v>
      </c>
      <c r="R8" s="27" t="b">
        <v>0</v>
      </c>
      <c r="S8" s="7">
        <v>3537</v>
      </c>
      <c r="T8" s="22">
        <v>1.2799999999999999E-4</v>
      </c>
    </row>
    <row r="9" spans="1:20" ht="22" customHeight="1">
      <c r="A9" s="7">
        <v>4</v>
      </c>
      <c r="B9" s="7">
        <v>4</v>
      </c>
      <c r="C9" s="7" t="s">
        <v>113</v>
      </c>
      <c r="D9" s="7" t="s">
        <v>95</v>
      </c>
      <c r="E9" s="7" t="s">
        <v>120</v>
      </c>
      <c r="F9" s="7" t="s">
        <v>121</v>
      </c>
      <c r="G9" s="7" t="s">
        <v>121</v>
      </c>
      <c r="H9" s="7" t="s">
        <v>115</v>
      </c>
      <c r="I9" s="7" t="s">
        <v>120</v>
      </c>
      <c r="J9" s="7" t="s">
        <v>120</v>
      </c>
      <c r="K9" s="7" t="s">
        <v>116</v>
      </c>
      <c r="L9" s="7" t="s">
        <v>120</v>
      </c>
      <c r="M9" s="7" t="s">
        <v>120</v>
      </c>
      <c r="N9" s="27" t="b">
        <v>1</v>
      </c>
      <c r="O9" s="27" t="b">
        <v>1</v>
      </c>
      <c r="P9" s="27" t="b">
        <v>1</v>
      </c>
      <c r="Q9" s="27" t="b">
        <v>0</v>
      </c>
      <c r="R9" s="27" t="b">
        <v>0</v>
      </c>
      <c r="S9" s="7">
        <v>1469</v>
      </c>
      <c r="T9" s="22">
        <v>1.362E-4</v>
      </c>
    </row>
    <row r="10" spans="1:20" ht="22" customHeight="1">
      <c r="A10" s="7">
        <v>5</v>
      </c>
      <c r="B10" s="7">
        <v>5</v>
      </c>
      <c r="C10" s="7" t="s">
        <v>113</v>
      </c>
      <c r="D10" s="7" t="s">
        <v>95</v>
      </c>
      <c r="E10" s="7" t="s">
        <v>122</v>
      </c>
      <c r="F10" s="7" t="s">
        <v>122</v>
      </c>
      <c r="G10" s="7" t="s">
        <v>122</v>
      </c>
      <c r="H10" s="7" t="s">
        <v>118</v>
      </c>
      <c r="I10" s="7" t="s">
        <v>122</v>
      </c>
      <c r="J10" s="7" t="s">
        <v>122</v>
      </c>
      <c r="K10" s="7" t="s">
        <v>116</v>
      </c>
      <c r="L10" s="7" t="s">
        <v>122</v>
      </c>
      <c r="M10" s="7" t="s">
        <v>122</v>
      </c>
      <c r="N10" s="27" t="b">
        <v>1</v>
      </c>
      <c r="O10" s="27" t="b">
        <v>1</v>
      </c>
      <c r="P10" s="27" t="b">
        <v>1</v>
      </c>
      <c r="Q10" s="27" t="b">
        <v>0</v>
      </c>
      <c r="R10" s="27" t="b">
        <v>0</v>
      </c>
      <c r="S10" s="7">
        <v>1172</v>
      </c>
      <c r="T10" s="22">
        <v>1.2680000000000002E-4</v>
      </c>
    </row>
    <row r="11" spans="1:20" ht="22" customHeight="1">
      <c r="A11" s="7">
        <v>6</v>
      </c>
      <c r="B11" s="7">
        <v>6</v>
      </c>
      <c r="C11" s="7" t="s">
        <v>113</v>
      </c>
      <c r="D11" s="7" t="s">
        <v>95</v>
      </c>
      <c r="E11" s="7" t="s">
        <v>123</v>
      </c>
      <c r="F11" s="7" t="s">
        <v>124</v>
      </c>
      <c r="G11" s="7" t="s">
        <v>124</v>
      </c>
      <c r="H11" s="7" t="s">
        <v>115</v>
      </c>
      <c r="I11" s="7" t="s">
        <v>123</v>
      </c>
      <c r="J11" s="7" t="s">
        <v>123</v>
      </c>
      <c r="K11" s="7" t="s">
        <v>116</v>
      </c>
      <c r="L11" s="7" t="s">
        <v>123</v>
      </c>
      <c r="M11" s="7" t="s">
        <v>123</v>
      </c>
      <c r="N11" s="27" t="b">
        <v>1</v>
      </c>
      <c r="O11" s="27" t="b">
        <v>1</v>
      </c>
      <c r="P11" s="27" t="b">
        <v>1</v>
      </c>
      <c r="Q11" s="27" t="b">
        <v>0</v>
      </c>
      <c r="R11" s="27" t="b">
        <v>0</v>
      </c>
      <c r="S11" s="7">
        <v>2303</v>
      </c>
      <c r="T11" s="22">
        <v>1.45E-4</v>
      </c>
    </row>
    <row r="12" spans="1:20" ht="22" customHeight="1">
      <c r="A12" s="7">
        <v>7</v>
      </c>
      <c r="B12" s="7">
        <v>7</v>
      </c>
      <c r="C12" s="7" t="s">
        <v>113</v>
      </c>
      <c r="D12" s="7" t="s">
        <v>95</v>
      </c>
      <c r="E12" s="7" t="s">
        <v>125</v>
      </c>
      <c r="F12" s="7" t="s">
        <v>125</v>
      </c>
      <c r="G12" s="7" t="s">
        <v>125</v>
      </c>
      <c r="H12" s="7" t="s">
        <v>118</v>
      </c>
      <c r="I12" s="7" t="s">
        <v>125</v>
      </c>
      <c r="J12" s="7" t="s">
        <v>125</v>
      </c>
      <c r="K12" s="7" t="s">
        <v>116</v>
      </c>
      <c r="L12" s="7" t="s">
        <v>125</v>
      </c>
      <c r="M12" s="7" t="s">
        <v>125</v>
      </c>
      <c r="N12" s="27" t="b">
        <v>1</v>
      </c>
      <c r="O12" s="27" t="b">
        <v>1</v>
      </c>
      <c r="P12" s="27" t="b">
        <v>1</v>
      </c>
      <c r="Q12" s="27" t="b">
        <v>0</v>
      </c>
      <c r="R12" s="27" t="b">
        <v>0</v>
      </c>
      <c r="S12" s="7">
        <v>1370</v>
      </c>
      <c r="T12" s="22">
        <v>1.3480000000000002E-4</v>
      </c>
    </row>
    <row r="13" spans="1:20" ht="22" customHeight="1">
      <c r="A13" s="7">
        <v>8</v>
      </c>
      <c r="B13" s="7">
        <v>8</v>
      </c>
      <c r="C13" s="7" t="s">
        <v>113</v>
      </c>
      <c r="D13" s="7" t="s">
        <v>95</v>
      </c>
      <c r="E13" s="7" t="s">
        <v>126</v>
      </c>
      <c r="F13" s="7" t="s">
        <v>126</v>
      </c>
      <c r="G13" s="7" t="s">
        <v>126</v>
      </c>
      <c r="H13" s="7" t="s">
        <v>118</v>
      </c>
      <c r="I13" s="7" t="s">
        <v>126</v>
      </c>
      <c r="J13" s="7" t="s">
        <v>126</v>
      </c>
      <c r="K13" s="7" t="s">
        <v>116</v>
      </c>
      <c r="L13" s="7" t="s">
        <v>126</v>
      </c>
      <c r="M13" s="7" t="s">
        <v>126</v>
      </c>
      <c r="N13" s="27" t="b">
        <v>1</v>
      </c>
      <c r="O13" s="27" t="b">
        <v>1</v>
      </c>
      <c r="P13" s="27" t="b">
        <v>1</v>
      </c>
      <c r="Q13" s="27" t="b">
        <v>0</v>
      </c>
      <c r="R13" s="27" t="b">
        <v>0</v>
      </c>
      <c r="S13" s="7">
        <v>1244</v>
      </c>
      <c r="T13" s="22">
        <v>1.3640000000000001E-4</v>
      </c>
    </row>
    <row r="14" spans="1:20" ht="22" customHeight="1">
      <c r="A14" s="7">
        <v>9</v>
      </c>
      <c r="B14" s="7">
        <v>9</v>
      </c>
      <c r="C14" s="7" t="s">
        <v>113</v>
      </c>
      <c r="D14" s="7" t="s">
        <v>95</v>
      </c>
      <c r="E14" s="7" t="s">
        <v>127</v>
      </c>
      <c r="F14" s="7" t="s">
        <v>127</v>
      </c>
      <c r="G14" s="7" t="s">
        <v>127</v>
      </c>
      <c r="H14" s="7" t="s">
        <v>118</v>
      </c>
      <c r="I14" s="7" t="s">
        <v>127</v>
      </c>
      <c r="J14" s="7" t="s">
        <v>127</v>
      </c>
      <c r="K14" s="7" t="s">
        <v>116</v>
      </c>
      <c r="L14" s="7" t="s">
        <v>127</v>
      </c>
      <c r="M14" s="7" t="s">
        <v>127</v>
      </c>
      <c r="N14" s="27" t="b">
        <v>1</v>
      </c>
      <c r="O14" s="27" t="b">
        <v>1</v>
      </c>
      <c r="P14" s="27" t="b">
        <v>1</v>
      </c>
      <c r="Q14" s="27" t="b">
        <v>0</v>
      </c>
      <c r="R14" s="27" t="b">
        <v>0</v>
      </c>
      <c r="S14" s="7">
        <v>1083</v>
      </c>
      <c r="T14" s="22">
        <v>1.2980000000000001E-4</v>
      </c>
    </row>
    <row r="15" spans="1:20" ht="22" customHeight="1">
      <c r="A15" s="7">
        <v>10</v>
      </c>
      <c r="B15" s="7">
        <v>10</v>
      </c>
      <c r="C15" s="7" t="s">
        <v>113</v>
      </c>
      <c r="D15" s="7" t="s">
        <v>95</v>
      </c>
      <c r="E15" s="7" t="s">
        <v>128</v>
      </c>
      <c r="F15" s="7" t="s">
        <v>128</v>
      </c>
      <c r="G15" s="7" t="s">
        <v>128</v>
      </c>
      <c r="H15" s="7" t="s">
        <v>118</v>
      </c>
      <c r="I15" s="7" t="s">
        <v>128</v>
      </c>
      <c r="J15" s="7" t="s">
        <v>128</v>
      </c>
      <c r="K15" s="7" t="s">
        <v>116</v>
      </c>
      <c r="L15" s="7" t="s">
        <v>128</v>
      </c>
      <c r="M15" s="7" t="s">
        <v>128</v>
      </c>
      <c r="N15" s="27" t="b">
        <v>1</v>
      </c>
      <c r="O15" s="27" t="b">
        <v>1</v>
      </c>
      <c r="P15" s="27" t="b">
        <v>1</v>
      </c>
      <c r="Q15" s="27" t="b">
        <v>0</v>
      </c>
      <c r="R15" s="27" t="b">
        <v>0</v>
      </c>
      <c r="S15" s="7">
        <v>1109</v>
      </c>
      <c r="T15" s="22">
        <v>1.2899999999999999E-4</v>
      </c>
    </row>
    <row r="16" spans="1:20" ht="22" customHeight="1">
      <c r="A16" s="7">
        <v>11</v>
      </c>
      <c r="B16" s="7">
        <v>11</v>
      </c>
      <c r="C16" s="7" t="s">
        <v>113</v>
      </c>
      <c r="D16" s="7" t="s">
        <v>95</v>
      </c>
      <c r="E16" s="7" t="s">
        <v>129</v>
      </c>
      <c r="F16" s="7" t="s">
        <v>129</v>
      </c>
      <c r="G16" s="7"/>
      <c r="H16" s="7" t="s">
        <v>115</v>
      </c>
      <c r="I16" s="7" t="s">
        <v>129</v>
      </c>
      <c r="J16" s="7" t="s">
        <v>129</v>
      </c>
      <c r="K16" s="7" t="s">
        <v>116</v>
      </c>
      <c r="L16" s="7" t="s">
        <v>129</v>
      </c>
      <c r="M16" s="7" t="s">
        <v>129</v>
      </c>
      <c r="N16" s="27" t="b">
        <v>1</v>
      </c>
      <c r="O16" s="27" t="b">
        <v>1</v>
      </c>
      <c r="P16" s="27" t="b">
        <v>1</v>
      </c>
      <c r="Q16" s="27" t="b">
        <v>0</v>
      </c>
      <c r="R16" s="27" t="b">
        <v>0</v>
      </c>
      <c r="S16" s="7">
        <v>1650</v>
      </c>
      <c r="T16" s="22">
        <v>1.2580000000000002E-4</v>
      </c>
    </row>
    <row r="17" spans="1:20" ht="22" customHeight="1">
      <c r="A17" s="7">
        <v>12</v>
      </c>
      <c r="B17" s="7">
        <v>12</v>
      </c>
      <c r="C17" s="7" t="s">
        <v>113</v>
      </c>
      <c r="D17" s="7" t="s">
        <v>95</v>
      </c>
      <c r="E17" s="7" t="s">
        <v>130</v>
      </c>
      <c r="F17" s="7" t="s">
        <v>130</v>
      </c>
      <c r="G17" s="7" t="s">
        <v>130</v>
      </c>
      <c r="H17" s="7" t="s">
        <v>118</v>
      </c>
      <c r="I17" s="7" t="s">
        <v>130</v>
      </c>
      <c r="J17" s="7" t="s">
        <v>130</v>
      </c>
      <c r="K17" s="7" t="s">
        <v>116</v>
      </c>
      <c r="L17" s="7" t="s">
        <v>130</v>
      </c>
      <c r="M17" s="7" t="s">
        <v>130</v>
      </c>
      <c r="N17" s="27" t="b">
        <v>1</v>
      </c>
      <c r="O17" s="27" t="b">
        <v>1</v>
      </c>
      <c r="P17" s="27" t="b">
        <v>1</v>
      </c>
      <c r="Q17" s="27" t="b">
        <v>0</v>
      </c>
      <c r="R17" s="27" t="b">
        <v>0</v>
      </c>
      <c r="S17" s="7">
        <v>1411</v>
      </c>
      <c r="T17" s="22">
        <v>1.26E-4</v>
      </c>
    </row>
    <row r="18" spans="1:20" ht="22" customHeight="1">
      <c r="A18" s="7">
        <v>13</v>
      </c>
      <c r="B18" s="7">
        <v>13</v>
      </c>
      <c r="C18" s="7" t="s">
        <v>113</v>
      </c>
      <c r="D18" s="7" t="s">
        <v>95</v>
      </c>
      <c r="E18" s="7" t="s">
        <v>131</v>
      </c>
      <c r="F18" s="7" t="s">
        <v>131</v>
      </c>
      <c r="G18" s="7" t="s">
        <v>131</v>
      </c>
      <c r="H18" s="7" t="s">
        <v>118</v>
      </c>
      <c r="I18" s="7" t="s">
        <v>131</v>
      </c>
      <c r="J18" s="7" t="s">
        <v>131</v>
      </c>
      <c r="K18" s="7" t="s">
        <v>116</v>
      </c>
      <c r="L18" s="7" t="s">
        <v>131</v>
      </c>
      <c r="M18" s="7" t="s">
        <v>131</v>
      </c>
      <c r="N18" s="27" t="b">
        <v>1</v>
      </c>
      <c r="O18" s="27" t="b">
        <v>1</v>
      </c>
      <c r="P18" s="27" t="b">
        <v>1</v>
      </c>
      <c r="Q18" s="27" t="b">
        <v>0</v>
      </c>
      <c r="R18" s="27" t="b">
        <v>0</v>
      </c>
      <c r="S18" s="7">
        <v>1251</v>
      </c>
      <c r="T18" s="22">
        <v>1.2680000000000002E-4</v>
      </c>
    </row>
    <row r="19" spans="1:20" ht="22" customHeight="1">
      <c r="A19" s="7">
        <v>14</v>
      </c>
      <c r="B19" s="7">
        <v>14</v>
      </c>
      <c r="C19" s="7" t="s">
        <v>113</v>
      </c>
      <c r="D19" s="7" t="s">
        <v>95</v>
      </c>
      <c r="E19" s="7" t="s">
        <v>132</v>
      </c>
      <c r="F19" s="7" t="s">
        <v>132</v>
      </c>
      <c r="G19" s="7"/>
      <c r="H19" s="7" t="s">
        <v>115</v>
      </c>
      <c r="I19" s="7" t="s">
        <v>132</v>
      </c>
      <c r="J19" s="7" t="s">
        <v>132</v>
      </c>
      <c r="K19" s="7" t="s">
        <v>116</v>
      </c>
      <c r="L19" s="7" t="s">
        <v>132</v>
      </c>
      <c r="M19" s="7" t="s">
        <v>132</v>
      </c>
      <c r="N19" s="27" t="b">
        <v>1</v>
      </c>
      <c r="O19" s="27" t="b">
        <v>1</v>
      </c>
      <c r="P19" s="27" t="b">
        <v>1</v>
      </c>
      <c r="Q19" s="27" t="b">
        <v>0</v>
      </c>
      <c r="R19" s="27" t="b">
        <v>0</v>
      </c>
      <c r="S19" s="7">
        <v>1257</v>
      </c>
      <c r="T19" s="22">
        <v>1.3920000000000002E-4</v>
      </c>
    </row>
    <row r="20" spans="1:20" ht="22" customHeight="1">
      <c r="A20" s="7">
        <v>15</v>
      </c>
      <c r="B20" s="7">
        <v>15</v>
      </c>
      <c r="C20" s="7" t="s">
        <v>113</v>
      </c>
      <c r="D20" s="7" t="s">
        <v>95</v>
      </c>
      <c r="E20" s="7" t="s">
        <v>133</v>
      </c>
      <c r="F20" s="7" t="s">
        <v>133</v>
      </c>
      <c r="G20" s="7" t="s">
        <v>133</v>
      </c>
      <c r="H20" s="7" t="s">
        <v>118</v>
      </c>
      <c r="I20" s="7" t="s">
        <v>133</v>
      </c>
      <c r="J20" s="7" t="s">
        <v>133</v>
      </c>
      <c r="K20" s="7" t="s">
        <v>116</v>
      </c>
      <c r="L20" s="7" t="s">
        <v>133</v>
      </c>
      <c r="M20" s="7" t="s">
        <v>133</v>
      </c>
      <c r="N20" s="27" t="b">
        <v>1</v>
      </c>
      <c r="O20" s="27" t="b">
        <v>1</v>
      </c>
      <c r="P20" s="27" t="b">
        <v>1</v>
      </c>
      <c r="Q20" s="27" t="b">
        <v>0</v>
      </c>
      <c r="R20" s="27" t="b">
        <v>0</v>
      </c>
      <c r="S20" s="7">
        <v>1487</v>
      </c>
      <c r="T20" s="22">
        <v>1.2759999999999998E-4</v>
      </c>
    </row>
    <row r="21" spans="1:20" ht="22" customHeight="1">
      <c r="A21" s="7">
        <v>16</v>
      </c>
      <c r="B21" s="7">
        <v>16</v>
      </c>
      <c r="C21" s="7" t="s">
        <v>113</v>
      </c>
      <c r="D21" s="7" t="s">
        <v>95</v>
      </c>
      <c r="E21" s="7" t="s">
        <v>134</v>
      </c>
      <c r="F21" s="7" t="s">
        <v>134</v>
      </c>
      <c r="G21" s="7" t="s">
        <v>134</v>
      </c>
      <c r="H21" s="7" t="s">
        <v>118</v>
      </c>
      <c r="I21" s="7" t="s">
        <v>134</v>
      </c>
      <c r="J21" s="7" t="s">
        <v>134</v>
      </c>
      <c r="K21" s="7" t="s">
        <v>116</v>
      </c>
      <c r="L21" s="7" t="s">
        <v>134</v>
      </c>
      <c r="M21" s="7" t="s">
        <v>134</v>
      </c>
      <c r="N21" s="27" t="b">
        <v>1</v>
      </c>
      <c r="O21" s="27" t="b">
        <v>1</v>
      </c>
      <c r="P21" s="27" t="b">
        <v>1</v>
      </c>
      <c r="Q21" s="27" t="b">
        <v>0</v>
      </c>
      <c r="R21" s="27" t="b">
        <v>0</v>
      </c>
      <c r="S21" s="7">
        <v>1187</v>
      </c>
      <c r="T21" s="22">
        <v>1.3120000000000002E-4</v>
      </c>
    </row>
    <row r="22" spans="1:20" ht="22" customHeight="1">
      <c r="A22" s="7">
        <v>17</v>
      </c>
      <c r="B22" s="7">
        <v>17</v>
      </c>
      <c r="C22" s="7" t="s">
        <v>113</v>
      </c>
      <c r="D22" s="7" t="s">
        <v>95</v>
      </c>
      <c r="E22" s="7" t="s">
        <v>135</v>
      </c>
      <c r="F22" s="7" t="s">
        <v>135</v>
      </c>
      <c r="G22" s="7" t="s">
        <v>135</v>
      </c>
      <c r="H22" s="7" t="s">
        <v>118</v>
      </c>
      <c r="I22" s="7" t="s">
        <v>135</v>
      </c>
      <c r="J22" s="7" t="s">
        <v>135</v>
      </c>
      <c r="K22" s="7" t="s">
        <v>116</v>
      </c>
      <c r="L22" s="7" t="s">
        <v>135</v>
      </c>
      <c r="M22" s="7" t="s">
        <v>135</v>
      </c>
      <c r="N22" s="27" t="b">
        <v>1</v>
      </c>
      <c r="O22" s="27" t="b">
        <v>1</v>
      </c>
      <c r="P22" s="27" t="b">
        <v>1</v>
      </c>
      <c r="Q22" s="27" t="b">
        <v>0</v>
      </c>
      <c r="R22" s="27" t="b">
        <v>0</v>
      </c>
      <c r="S22" s="7">
        <v>1185</v>
      </c>
      <c r="T22" s="22">
        <v>1.3239999999999999E-4</v>
      </c>
    </row>
    <row r="23" spans="1:20" ht="22" customHeight="1">
      <c r="A23" s="7">
        <v>18</v>
      </c>
      <c r="B23" s="7">
        <v>18</v>
      </c>
      <c r="C23" s="7" t="s">
        <v>113</v>
      </c>
      <c r="D23" s="7" t="s">
        <v>95</v>
      </c>
      <c r="E23" s="7" t="s">
        <v>136</v>
      </c>
      <c r="F23" s="7" t="s">
        <v>136</v>
      </c>
      <c r="G23" s="7" t="s">
        <v>136</v>
      </c>
      <c r="H23" s="7" t="s">
        <v>118</v>
      </c>
      <c r="I23" s="7" t="s">
        <v>136</v>
      </c>
      <c r="J23" s="7" t="s">
        <v>136</v>
      </c>
      <c r="K23" s="7" t="s">
        <v>116</v>
      </c>
      <c r="L23" s="7" t="s">
        <v>136</v>
      </c>
      <c r="M23" s="7" t="s">
        <v>136</v>
      </c>
      <c r="N23" s="27" t="b">
        <v>1</v>
      </c>
      <c r="O23" s="27" t="b">
        <v>1</v>
      </c>
      <c r="P23" s="27" t="b">
        <v>1</v>
      </c>
      <c r="Q23" s="27" t="b">
        <v>0</v>
      </c>
      <c r="R23" s="27" t="b">
        <v>0</v>
      </c>
      <c r="S23" s="7">
        <v>1181</v>
      </c>
      <c r="T23" s="22">
        <v>1.2680000000000002E-4</v>
      </c>
    </row>
    <row r="24" spans="1:20" ht="22" customHeight="1">
      <c r="A24" s="7">
        <v>19</v>
      </c>
      <c r="B24" s="7">
        <v>19</v>
      </c>
      <c r="C24" s="7" t="s">
        <v>113</v>
      </c>
      <c r="D24" s="7" t="s">
        <v>95</v>
      </c>
      <c r="E24" s="7" t="s">
        <v>137</v>
      </c>
      <c r="F24" s="7" t="s">
        <v>137</v>
      </c>
      <c r="G24" s="7" t="s">
        <v>137</v>
      </c>
      <c r="H24" s="7" t="s">
        <v>118</v>
      </c>
      <c r="I24" s="7" t="s">
        <v>137</v>
      </c>
      <c r="J24" s="7" t="s">
        <v>137</v>
      </c>
      <c r="K24" s="7" t="s">
        <v>116</v>
      </c>
      <c r="L24" s="7" t="s">
        <v>137</v>
      </c>
      <c r="M24" s="7" t="s">
        <v>137</v>
      </c>
      <c r="N24" s="27" t="b">
        <v>1</v>
      </c>
      <c r="O24" s="27" t="b">
        <v>1</v>
      </c>
      <c r="P24" s="27" t="b">
        <v>1</v>
      </c>
      <c r="Q24" s="27" t="b">
        <v>0</v>
      </c>
      <c r="R24" s="27" t="b">
        <v>0</v>
      </c>
      <c r="S24" s="7">
        <v>1322</v>
      </c>
      <c r="T24" s="22">
        <v>1.3320000000000001E-4</v>
      </c>
    </row>
    <row r="25" spans="1:20" ht="22" customHeight="1">
      <c r="A25" s="7">
        <v>20</v>
      </c>
      <c r="B25" s="7">
        <v>20</v>
      </c>
      <c r="C25" s="7" t="s">
        <v>113</v>
      </c>
      <c r="D25" s="7" t="s">
        <v>95</v>
      </c>
      <c r="E25" s="7" t="s">
        <v>138</v>
      </c>
      <c r="F25" s="7" t="s">
        <v>138</v>
      </c>
      <c r="G25" s="7" t="s">
        <v>138</v>
      </c>
      <c r="H25" s="7" t="s">
        <v>118</v>
      </c>
      <c r="I25" s="7" t="s">
        <v>138</v>
      </c>
      <c r="J25" s="7" t="s">
        <v>138</v>
      </c>
      <c r="K25" s="7" t="s">
        <v>116</v>
      </c>
      <c r="L25" s="7" t="s">
        <v>138</v>
      </c>
      <c r="M25" s="7" t="s">
        <v>138</v>
      </c>
      <c r="N25" s="27" t="b">
        <v>1</v>
      </c>
      <c r="O25" s="27" t="b">
        <v>1</v>
      </c>
      <c r="P25" s="27" t="b">
        <v>1</v>
      </c>
      <c r="Q25" s="27" t="b">
        <v>0</v>
      </c>
      <c r="R25" s="27" t="b">
        <v>0</v>
      </c>
      <c r="S25" s="7">
        <v>1437</v>
      </c>
      <c r="T25" s="22">
        <v>1.27E-4</v>
      </c>
    </row>
    <row r="26" spans="1:20" ht="22" customHeight="1">
      <c r="A26" s="7">
        <v>21</v>
      </c>
      <c r="B26" s="7">
        <v>21</v>
      </c>
      <c r="C26" s="7" t="s">
        <v>113</v>
      </c>
      <c r="D26" s="7" t="s">
        <v>95</v>
      </c>
      <c r="E26" s="7" t="s">
        <v>139</v>
      </c>
      <c r="F26" s="7" t="s">
        <v>140</v>
      </c>
      <c r="G26" s="7" t="s">
        <v>140</v>
      </c>
      <c r="H26" s="7" t="s">
        <v>115</v>
      </c>
      <c r="I26" s="7" t="s">
        <v>139</v>
      </c>
      <c r="J26" s="7" t="s">
        <v>139</v>
      </c>
      <c r="K26" s="7" t="s">
        <v>116</v>
      </c>
      <c r="L26" s="7" t="s">
        <v>139</v>
      </c>
      <c r="M26" s="7" t="s">
        <v>139</v>
      </c>
      <c r="N26" s="27" t="b">
        <v>1</v>
      </c>
      <c r="O26" s="27" t="b">
        <v>1</v>
      </c>
      <c r="P26" s="27" t="b">
        <v>1</v>
      </c>
      <c r="Q26" s="27" t="b">
        <v>0</v>
      </c>
      <c r="R26" s="27" t="b">
        <v>0</v>
      </c>
      <c r="S26" s="7">
        <v>1503</v>
      </c>
      <c r="T26" s="22">
        <v>1.4799999999999999E-4</v>
      </c>
    </row>
    <row r="27" spans="1:20" ht="22" customHeight="1">
      <c r="A27" s="7">
        <v>22</v>
      </c>
      <c r="B27" s="7">
        <v>22</v>
      </c>
      <c r="C27" s="7" t="s">
        <v>113</v>
      </c>
      <c r="D27" s="7" t="s">
        <v>95</v>
      </c>
      <c r="E27" s="7" t="s">
        <v>141</v>
      </c>
      <c r="F27" s="7" t="s">
        <v>141</v>
      </c>
      <c r="G27" s="7" t="s">
        <v>141</v>
      </c>
      <c r="H27" s="7" t="s">
        <v>118</v>
      </c>
      <c r="I27" s="7" t="s">
        <v>141</v>
      </c>
      <c r="J27" s="7" t="s">
        <v>141</v>
      </c>
      <c r="K27" s="7" t="s">
        <v>116</v>
      </c>
      <c r="L27" s="7" t="s">
        <v>141</v>
      </c>
      <c r="M27" s="7" t="s">
        <v>141</v>
      </c>
      <c r="N27" s="27" t="b">
        <v>1</v>
      </c>
      <c r="O27" s="27" t="b">
        <v>1</v>
      </c>
      <c r="P27" s="27" t="b">
        <v>1</v>
      </c>
      <c r="Q27" s="27" t="b">
        <v>0</v>
      </c>
      <c r="R27" s="27" t="b">
        <v>0</v>
      </c>
      <c r="S27" s="7">
        <v>1171</v>
      </c>
      <c r="T27" s="22">
        <v>1.3880000000000001E-4</v>
      </c>
    </row>
    <row r="28" spans="1:20" ht="22" customHeight="1">
      <c r="A28" s="7">
        <v>23</v>
      </c>
      <c r="B28" s="7">
        <v>23</v>
      </c>
      <c r="C28" s="7" t="s">
        <v>113</v>
      </c>
      <c r="D28" s="7" t="s">
        <v>95</v>
      </c>
      <c r="E28" s="7" t="s">
        <v>142</v>
      </c>
      <c r="F28" s="7" t="s">
        <v>142</v>
      </c>
      <c r="G28" s="7"/>
      <c r="H28" s="7" t="s">
        <v>115</v>
      </c>
      <c r="I28" s="7" t="s">
        <v>142</v>
      </c>
      <c r="J28" s="7" t="s">
        <v>142</v>
      </c>
      <c r="K28" s="7" t="s">
        <v>116</v>
      </c>
      <c r="L28" s="7" t="s">
        <v>142</v>
      </c>
      <c r="M28" s="7" t="s">
        <v>142</v>
      </c>
      <c r="N28" s="27" t="b">
        <v>1</v>
      </c>
      <c r="O28" s="27" t="b">
        <v>1</v>
      </c>
      <c r="P28" s="27" t="b">
        <v>1</v>
      </c>
      <c r="Q28" s="27" t="b">
        <v>0</v>
      </c>
      <c r="R28" s="27" t="b">
        <v>0</v>
      </c>
      <c r="S28" s="7">
        <v>1178</v>
      </c>
      <c r="T28" s="22">
        <v>1.26E-4</v>
      </c>
    </row>
    <row r="29" spans="1:20" ht="22" customHeight="1">
      <c r="A29" s="7">
        <v>24</v>
      </c>
      <c r="B29" s="7">
        <v>24</v>
      </c>
      <c r="C29" s="7" t="s">
        <v>113</v>
      </c>
      <c r="D29" s="7" t="s">
        <v>95</v>
      </c>
      <c r="E29" s="7" t="s">
        <v>143</v>
      </c>
      <c r="F29" s="7" t="s">
        <v>143</v>
      </c>
      <c r="G29" s="7"/>
      <c r="H29" s="7" t="s">
        <v>115</v>
      </c>
      <c r="I29" s="7" t="s">
        <v>143</v>
      </c>
      <c r="J29" s="7" t="s">
        <v>143</v>
      </c>
      <c r="K29" s="7" t="s">
        <v>116</v>
      </c>
      <c r="L29" s="7" t="s">
        <v>143</v>
      </c>
      <c r="M29" s="7" t="s">
        <v>143</v>
      </c>
      <c r="N29" s="27" t="b">
        <v>1</v>
      </c>
      <c r="O29" s="27" t="b">
        <v>1</v>
      </c>
      <c r="P29" s="27" t="b">
        <v>1</v>
      </c>
      <c r="Q29" s="27" t="b">
        <v>0</v>
      </c>
      <c r="R29" s="27" t="b">
        <v>0</v>
      </c>
      <c r="S29" s="7">
        <v>1128</v>
      </c>
      <c r="T29" s="22">
        <v>1.2559999999999999E-4</v>
      </c>
    </row>
    <row r="30" spans="1:20" ht="22" customHeight="1">
      <c r="A30" s="7">
        <v>25</v>
      </c>
      <c r="B30" s="7">
        <v>25</v>
      </c>
      <c r="C30" s="7" t="s">
        <v>113</v>
      </c>
      <c r="D30" s="7" t="s">
        <v>95</v>
      </c>
      <c r="E30" s="7" t="s">
        <v>144</v>
      </c>
      <c r="F30" s="7" t="s">
        <v>144</v>
      </c>
      <c r="G30" s="7" t="s">
        <v>144</v>
      </c>
      <c r="H30" s="7" t="s">
        <v>118</v>
      </c>
      <c r="I30" s="7" t="s">
        <v>144</v>
      </c>
      <c r="J30" s="7" t="s">
        <v>144</v>
      </c>
      <c r="K30" s="7" t="s">
        <v>116</v>
      </c>
      <c r="L30" s="7" t="s">
        <v>144</v>
      </c>
      <c r="M30" s="7" t="s">
        <v>144</v>
      </c>
      <c r="N30" s="27" t="b">
        <v>1</v>
      </c>
      <c r="O30" s="27" t="b">
        <v>1</v>
      </c>
      <c r="P30" s="27" t="b">
        <v>1</v>
      </c>
      <c r="Q30" s="27" t="b">
        <v>0</v>
      </c>
      <c r="R30" s="27" t="b">
        <v>0</v>
      </c>
      <c r="S30" s="7">
        <v>1703</v>
      </c>
      <c r="T30" s="22">
        <v>1.2759999999999998E-4</v>
      </c>
    </row>
    <row r="31" spans="1:20" ht="22" customHeight="1">
      <c r="A31" s="7">
        <v>26</v>
      </c>
      <c r="B31" s="7">
        <v>26</v>
      </c>
      <c r="C31" s="7" t="s">
        <v>113</v>
      </c>
      <c r="D31" s="7" t="s">
        <v>95</v>
      </c>
      <c r="E31" s="7" t="s">
        <v>145</v>
      </c>
      <c r="F31" s="7" t="s">
        <v>145</v>
      </c>
      <c r="G31" s="7" t="s">
        <v>145</v>
      </c>
      <c r="H31" s="7" t="s">
        <v>118</v>
      </c>
      <c r="I31" s="7" t="s">
        <v>145</v>
      </c>
      <c r="J31" s="7" t="s">
        <v>145</v>
      </c>
      <c r="K31" s="7" t="s">
        <v>116</v>
      </c>
      <c r="L31" s="7" t="s">
        <v>145</v>
      </c>
      <c r="M31" s="7" t="s">
        <v>145</v>
      </c>
      <c r="N31" s="27" t="b">
        <v>1</v>
      </c>
      <c r="O31" s="27" t="b">
        <v>1</v>
      </c>
      <c r="P31" s="27" t="b">
        <v>1</v>
      </c>
      <c r="Q31" s="27" t="b">
        <v>0</v>
      </c>
      <c r="R31" s="27" t="b">
        <v>0</v>
      </c>
      <c r="S31" s="7">
        <v>1559</v>
      </c>
      <c r="T31" s="22">
        <v>1.3239999999999999E-4</v>
      </c>
    </row>
    <row r="32" spans="1:20" ht="22" customHeight="1">
      <c r="A32" s="7">
        <v>27</v>
      </c>
      <c r="B32" s="7">
        <v>27</v>
      </c>
      <c r="C32" s="7" t="s">
        <v>113</v>
      </c>
      <c r="D32" s="7" t="s">
        <v>95</v>
      </c>
      <c r="E32" s="7" t="s">
        <v>146</v>
      </c>
      <c r="F32" s="7" t="s">
        <v>146</v>
      </c>
      <c r="G32" s="7"/>
      <c r="H32" s="7" t="s">
        <v>115</v>
      </c>
      <c r="I32" s="7" t="s">
        <v>146</v>
      </c>
      <c r="J32" s="7" t="s">
        <v>146</v>
      </c>
      <c r="K32" s="7" t="s">
        <v>116</v>
      </c>
      <c r="L32" s="7" t="s">
        <v>146</v>
      </c>
      <c r="M32" s="7" t="s">
        <v>146</v>
      </c>
      <c r="N32" s="27" t="b">
        <v>1</v>
      </c>
      <c r="O32" s="27" t="b">
        <v>1</v>
      </c>
      <c r="P32" s="27" t="b">
        <v>1</v>
      </c>
      <c r="Q32" s="27" t="b">
        <v>0</v>
      </c>
      <c r="R32" s="27" t="b">
        <v>0</v>
      </c>
      <c r="S32" s="7">
        <v>1363</v>
      </c>
      <c r="T32" s="22">
        <v>1.284E-4</v>
      </c>
    </row>
    <row r="33" spans="1:20" ht="22" customHeight="1">
      <c r="A33" s="7">
        <v>28</v>
      </c>
      <c r="B33" s="7">
        <v>28</v>
      </c>
      <c r="C33" s="7" t="s">
        <v>113</v>
      </c>
      <c r="D33" s="7" t="s">
        <v>95</v>
      </c>
      <c r="E33" s="7" t="s">
        <v>147</v>
      </c>
      <c r="F33" s="7" t="s">
        <v>148</v>
      </c>
      <c r="G33" s="7" t="s">
        <v>148</v>
      </c>
      <c r="H33" s="7" t="s">
        <v>115</v>
      </c>
      <c r="I33" s="7" t="s">
        <v>147</v>
      </c>
      <c r="J33" s="7" t="s">
        <v>147</v>
      </c>
      <c r="K33" s="7" t="s">
        <v>116</v>
      </c>
      <c r="L33" s="7" t="s">
        <v>147</v>
      </c>
      <c r="M33" s="7" t="s">
        <v>147</v>
      </c>
      <c r="N33" s="27" t="b">
        <v>1</v>
      </c>
      <c r="O33" s="27" t="b">
        <v>1</v>
      </c>
      <c r="P33" s="27" t="b">
        <v>1</v>
      </c>
      <c r="Q33" s="27" t="b">
        <v>0</v>
      </c>
      <c r="R33" s="27" t="b">
        <v>0</v>
      </c>
      <c r="S33" s="7">
        <v>1030</v>
      </c>
      <c r="T33" s="22">
        <v>1.56E-4</v>
      </c>
    </row>
    <row r="34" spans="1:20" ht="22" customHeight="1">
      <c r="A34" s="7">
        <v>29</v>
      </c>
      <c r="B34" s="7">
        <v>29</v>
      </c>
      <c r="C34" s="7" t="s">
        <v>113</v>
      </c>
      <c r="D34" s="7" t="s">
        <v>95</v>
      </c>
      <c r="E34" s="7" t="s">
        <v>149</v>
      </c>
      <c r="F34" s="7" t="s">
        <v>150</v>
      </c>
      <c r="G34" s="7"/>
      <c r="H34" s="7" t="s">
        <v>115</v>
      </c>
      <c r="I34" s="7" t="s">
        <v>149</v>
      </c>
      <c r="J34" s="7" t="s">
        <v>149</v>
      </c>
      <c r="K34" s="7" t="s">
        <v>116</v>
      </c>
      <c r="L34" s="7" t="s">
        <v>149</v>
      </c>
      <c r="M34" s="7" t="s">
        <v>149</v>
      </c>
      <c r="N34" s="27" t="b">
        <v>1</v>
      </c>
      <c r="O34" s="27" t="b">
        <v>1</v>
      </c>
      <c r="P34" s="27" t="b">
        <v>1</v>
      </c>
      <c r="Q34" s="27" t="b">
        <v>0</v>
      </c>
      <c r="R34" s="27" t="b">
        <v>0</v>
      </c>
      <c r="S34" s="7">
        <v>1134</v>
      </c>
      <c r="T34" s="22">
        <v>1.3820000000000003E-4</v>
      </c>
    </row>
    <row r="35" spans="1:20" ht="22" customHeight="1">
      <c r="A35" s="7">
        <v>30</v>
      </c>
      <c r="B35" s="7">
        <v>31</v>
      </c>
      <c r="C35" s="7" t="s">
        <v>113</v>
      </c>
      <c r="D35" s="7" t="s">
        <v>95</v>
      </c>
      <c r="E35" s="7" t="s">
        <v>151</v>
      </c>
      <c r="F35" s="7" t="s">
        <v>151</v>
      </c>
      <c r="G35" s="7" t="s">
        <v>151</v>
      </c>
      <c r="H35" s="7" t="s">
        <v>118</v>
      </c>
      <c r="I35" s="7" t="s">
        <v>151</v>
      </c>
      <c r="J35" s="7" t="s">
        <v>151</v>
      </c>
      <c r="K35" s="7" t="s">
        <v>116</v>
      </c>
      <c r="L35" s="7" t="s">
        <v>151</v>
      </c>
      <c r="M35" s="7" t="s">
        <v>151</v>
      </c>
      <c r="N35" s="27" t="b">
        <v>1</v>
      </c>
      <c r="O35" s="27" t="b">
        <v>1</v>
      </c>
      <c r="P35" s="27" t="b">
        <v>1</v>
      </c>
      <c r="Q35" s="27" t="b">
        <v>0</v>
      </c>
      <c r="R35" s="27" t="b">
        <v>0</v>
      </c>
      <c r="S35" s="7">
        <v>1239</v>
      </c>
      <c r="T35" s="22">
        <v>1.3920000000000002E-4</v>
      </c>
    </row>
    <row r="36" spans="1:20" ht="22" customHeight="1">
      <c r="A36" s="7">
        <v>31</v>
      </c>
      <c r="B36" s="7">
        <v>32</v>
      </c>
      <c r="C36" s="7" t="s">
        <v>113</v>
      </c>
      <c r="D36" s="7" t="s">
        <v>95</v>
      </c>
      <c r="E36" s="7" t="s">
        <v>152</v>
      </c>
      <c r="F36" s="7" t="s">
        <v>152</v>
      </c>
      <c r="G36" s="7" t="s">
        <v>152</v>
      </c>
      <c r="H36" s="7" t="s">
        <v>118</v>
      </c>
      <c r="I36" s="7" t="s">
        <v>152</v>
      </c>
      <c r="J36" s="7" t="s">
        <v>152</v>
      </c>
      <c r="K36" s="7" t="s">
        <v>116</v>
      </c>
      <c r="L36" s="7" t="s">
        <v>152</v>
      </c>
      <c r="M36" s="7" t="s">
        <v>152</v>
      </c>
      <c r="N36" s="27" t="b">
        <v>1</v>
      </c>
      <c r="O36" s="27" t="b">
        <v>1</v>
      </c>
      <c r="P36" s="27" t="b">
        <v>1</v>
      </c>
      <c r="Q36" s="27" t="b">
        <v>0</v>
      </c>
      <c r="R36" s="27" t="b">
        <v>0</v>
      </c>
      <c r="S36" s="7">
        <v>1229</v>
      </c>
      <c r="T36" s="22">
        <v>1.3120000000000002E-4</v>
      </c>
    </row>
    <row r="37" spans="1:20" ht="22" customHeight="1">
      <c r="A37" s="7">
        <v>32</v>
      </c>
      <c r="B37" s="7">
        <v>33</v>
      </c>
      <c r="C37" s="7" t="s">
        <v>113</v>
      </c>
      <c r="D37" s="7" t="s">
        <v>95</v>
      </c>
      <c r="E37" s="7" t="s">
        <v>153</v>
      </c>
      <c r="F37" s="7" t="s">
        <v>153</v>
      </c>
      <c r="G37" s="7" t="s">
        <v>153</v>
      </c>
      <c r="H37" s="7" t="s">
        <v>118</v>
      </c>
      <c r="I37" s="7" t="s">
        <v>153</v>
      </c>
      <c r="J37" s="7" t="s">
        <v>153</v>
      </c>
      <c r="K37" s="7" t="s">
        <v>116</v>
      </c>
      <c r="L37" s="7" t="s">
        <v>153</v>
      </c>
      <c r="M37" s="7" t="s">
        <v>153</v>
      </c>
      <c r="N37" s="27" t="b">
        <v>1</v>
      </c>
      <c r="O37" s="27" t="b">
        <v>1</v>
      </c>
      <c r="P37" s="27" t="b">
        <v>1</v>
      </c>
      <c r="Q37" s="27" t="b">
        <v>0</v>
      </c>
      <c r="R37" s="27" t="b">
        <v>0</v>
      </c>
      <c r="S37" s="7">
        <v>1504</v>
      </c>
      <c r="T37" s="22">
        <v>1.3020000000000002E-4</v>
      </c>
    </row>
    <row r="38" spans="1:20" ht="22" customHeight="1">
      <c r="A38" s="7">
        <v>33</v>
      </c>
      <c r="B38" s="7">
        <v>34</v>
      </c>
      <c r="C38" s="7" t="s">
        <v>113</v>
      </c>
      <c r="D38" s="7" t="s">
        <v>95</v>
      </c>
      <c r="E38" s="7" t="s">
        <v>154</v>
      </c>
      <c r="F38" s="7" t="s">
        <v>154</v>
      </c>
      <c r="G38" s="7" t="s">
        <v>154</v>
      </c>
      <c r="H38" s="7" t="s">
        <v>118</v>
      </c>
      <c r="I38" s="7" t="s">
        <v>154</v>
      </c>
      <c r="J38" s="7" t="s">
        <v>154</v>
      </c>
      <c r="K38" s="7" t="s">
        <v>116</v>
      </c>
      <c r="L38" s="7" t="s">
        <v>154</v>
      </c>
      <c r="M38" s="7" t="s">
        <v>154</v>
      </c>
      <c r="N38" s="27" t="b">
        <v>1</v>
      </c>
      <c r="O38" s="27" t="b">
        <v>1</v>
      </c>
      <c r="P38" s="27" t="b">
        <v>1</v>
      </c>
      <c r="Q38" s="27" t="b">
        <v>0</v>
      </c>
      <c r="R38" s="27" t="b">
        <v>0</v>
      </c>
      <c r="S38" s="7">
        <v>1126</v>
      </c>
      <c r="T38" s="22">
        <v>1.2880000000000001E-4</v>
      </c>
    </row>
    <row r="39" spans="1:20" ht="22" customHeight="1">
      <c r="A39" s="7">
        <v>34</v>
      </c>
      <c r="B39" s="7">
        <v>35</v>
      </c>
      <c r="C39" s="7" t="s">
        <v>113</v>
      </c>
      <c r="D39" s="7" t="s">
        <v>95</v>
      </c>
      <c r="E39" s="7" t="s">
        <v>155</v>
      </c>
      <c r="F39" s="7" t="s">
        <v>155</v>
      </c>
      <c r="G39" s="7" t="s">
        <v>155</v>
      </c>
      <c r="H39" s="7" t="s">
        <v>118</v>
      </c>
      <c r="I39" s="7" t="s">
        <v>155</v>
      </c>
      <c r="J39" s="7" t="s">
        <v>155</v>
      </c>
      <c r="K39" s="7" t="s">
        <v>116</v>
      </c>
      <c r="L39" s="7" t="s">
        <v>155</v>
      </c>
      <c r="M39" s="7" t="s">
        <v>155</v>
      </c>
      <c r="N39" s="27" t="b">
        <v>1</v>
      </c>
      <c r="O39" s="27" t="b">
        <v>1</v>
      </c>
      <c r="P39" s="27" t="b">
        <v>1</v>
      </c>
      <c r="Q39" s="27" t="b">
        <v>0</v>
      </c>
      <c r="R39" s="27" t="b">
        <v>0</v>
      </c>
      <c r="S39" s="7">
        <v>1155</v>
      </c>
      <c r="T39" s="22">
        <v>1.3459999999999999E-4</v>
      </c>
    </row>
    <row r="40" spans="1:20" ht="22" customHeight="1">
      <c r="A40" s="7">
        <v>35</v>
      </c>
      <c r="B40" s="7">
        <v>36</v>
      </c>
      <c r="C40" s="7" t="s">
        <v>113</v>
      </c>
      <c r="D40" s="7" t="s">
        <v>95</v>
      </c>
      <c r="E40" s="7" t="s">
        <v>156</v>
      </c>
      <c r="F40" s="7" t="s">
        <v>156</v>
      </c>
      <c r="G40" s="7"/>
      <c r="H40" s="7" t="s">
        <v>115</v>
      </c>
      <c r="I40" s="7" t="s">
        <v>156</v>
      </c>
      <c r="J40" s="7" t="s">
        <v>156</v>
      </c>
      <c r="K40" s="7" t="s">
        <v>116</v>
      </c>
      <c r="L40" s="7" t="s">
        <v>156</v>
      </c>
      <c r="M40" s="7" t="s">
        <v>156</v>
      </c>
      <c r="N40" s="27" t="b">
        <v>1</v>
      </c>
      <c r="O40" s="27" t="b">
        <v>1</v>
      </c>
      <c r="P40" s="27" t="b">
        <v>1</v>
      </c>
      <c r="Q40" s="27" t="b">
        <v>0</v>
      </c>
      <c r="R40" s="27" t="b">
        <v>0</v>
      </c>
      <c r="S40" s="7">
        <v>1331</v>
      </c>
      <c r="T40" s="22">
        <v>1.2519999999999998E-4</v>
      </c>
    </row>
    <row r="41" spans="1:20" ht="22" customHeight="1">
      <c r="A41" s="7">
        <v>36</v>
      </c>
      <c r="B41" s="7">
        <v>37</v>
      </c>
      <c r="C41" s="7" t="s">
        <v>113</v>
      </c>
      <c r="D41" s="7" t="s">
        <v>95</v>
      </c>
      <c r="E41" s="7" t="s">
        <v>157</v>
      </c>
      <c r="F41" s="7" t="s">
        <v>157</v>
      </c>
      <c r="G41" s="7" t="s">
        <v>157</v>
      </c>
      <c r="H41" s="7" t="s">
        <v>118</v>
      </c>
      <c r="I41" s="7" t="s">
        <v>157</v>
      </c>
      <c r="J41" s="7" t="s">
        <v>157</v>
      </c>
      <c r="K41" s="7" t="s">
        <v>116</v>
      </c>
      <c r="L41" s="7" t="s">
        <v>157</v>
      </c>
      <c r="M41" s="7" t="s">
        <v>157</v>
      </c>
      <c r="N41" s="27" t="b">
        <v>1</v>
      </c>
      <c r="O41" s="27" t="b">
        <v>1</v>
      </c>
      <c r="P41" s="27" t="b">
        <v>1</v>
      </c>
      <c r="Q41" s="27" t="b">
        <v>0</v>
      </c>
      <c r="R41" s="27" t="b">
        <v>0</v>
      </c>
      <c r="S41" s="7">
        <v>1425</v>
      </c>
      <c r="T41" s="22">
        <v>1.3359999999999999E-4</v>
      </c>
    </row>
    <row r="42" spans="1:20" ht="22" customHeight="1">
      <c r="A42" s="7">
        <v>37</v>
      </c>
      <c r="B42" s="7">
        <v>38</v>
      </c>
      <c r="C42" s="7" t="s">
        <v>113</v>
      </c>
      <c r="D42" s="7" t="s">
        <v>95</v>
      </c>
      <c r="E42" s="7" t="s">
        <v>158</v>
      </c>
      <c r="F42" s="7" t="s">
        <v>158</v>
      </c>
      <c r="G42" s="7"/>
      <c r="H42" s="7" t="s">
        <v>115</v>
      </c>
      <c r="I42" s="7" t="s">
        <v>158</v>
      </c>
      <c r="J42" s="7" t="s">
        <v>158</v>
      </c>
      <c r="K42" s="7" t="s">
        <v>116</v>
      </c>
      <c r="L42" s="7" t="s">
        <v>158</v>
      </c>
      <c r="M42" s="7" t="s">
        <v>158</v>
      </c>
      <c r="N42" s="27" t="b">
        <v>1</v>
      </c>
      <c r="O42" s="27" t="b">
        <v>1</v>
      </c>
      <c r="P42" s="27" t="b">
        <v>1</v>
      </c>
      <c r="Q42" s="27" t="b">
        <v>0</v>
      </c>
      <c r="R42" s="27" t="b">
        <v>0</v>
      </c>
      <c r="S42" s="7">
        <v>1287</v>
      </c>
      <c r="T42" s="22">
        <v>1.3320000000000001E-4</v>
      </c>
    </row>
    <row r="43" spans="1:20" ht="22" customHeight="1">
      <c r="A43" s="7">
        <v>38</v>
      </c>
      <c r="B43" s="7">
        <v>39</v>
      </c>
      <c r="C43" s="7" t="s">
        <v>113</v>
      </c>
      <c r="D43" s="7" t="s">
        <v>95</v>
      </c>
      <c r="E43" s="7" t="s">
        <v>159</v>
      </c>
      <c r="F43" s="7" t="s">
        <v>159</v>
      </c>
      <c r="G43" s="7" t="s">
        <v>159</v>
      </c>
      <c r="H43" s="7" t="s">
        <v>118</v>
      </c>
      <c r="I43" s="7" t="s">
        <v>159</v>
      </c>
      <c r="J43" s="7" t="s">
        <v>159</v>
      </c>
      <c r="K43" s="7" t="s">
        <v>116</v>
      </c>
      <c r="L43" s="7" t="s">
        <v>159</v>
      </c>
      <c r="M43" s="7" t="s">
        <v>159</v>
      </c>
      <c r="N43" s="27" t="b">
        <v>1</v>
      </c>
      <c r="O43" s="27" t="b">
        <v>1</v>
      </c>
      <c r="P43" s="27" t="b">
        <v>1</v>
      </c>
      <c r="Q43" s="27" t="b">
        <v>0</v>
      </c>
      <c r="R43" s="27" t="b">
        <v>0</v>
      </c>
      <c r="S43" s="7">
        <v>1354</v>
      </c>
      <c r="T43" s="22">
        <v>1.36E-4</v>
      </c>
    </row>
    <row r="44" spans="1:20" ht="22" customHeight="1">
      <c r="A44" s="7">
        <v>39</v>
      </c>
      <c r="B44" s="7">
        <v>40</v>
      </c>
      <c r="C44" s="7" t="s">
        <v>113</v>
      </c>
      <c r="D44" s="7" t="s">
        <v>95</v>
      </c>
      <c r="E44" s="7" t="s">
        <v>160</v>
      </c>
      <c r="F44" s="7" t="s">
        <v>160</v>
      </c>
      <c r="G44" s="7" t="s">
        <v>160</v>
      </c>
      <c r="H44" s="7" t="s">
        <v>118</v>
      </c>
      <c r="I44" s="7" t="s">
        <v>160</v>
      </c>
      <c r="J44" s="7" t="s">
        <v>160</v>
      </c>
      <c r="K44" s="7" t="s">
        <v>116</v>
      </c>
      <c r="L44" s="7" t="s">
        <v>160</v>
      </c>
      <c r="M44" s="7" t="s">
        <v>160</v>
      </c>
      <c r="N44" s="27" t="b">
        <v>1</v>
      </c>
      <c r="O44" s="27" t="b">
        <v>1</v>
      </c>
      <c r="P44" s="27" t="b">
        <v>1</v>
      </c>
      <c r="Q44" s="27" t="b">
        <v>0</v>
      </c>
      <c r="R44" s="27" t="b">
        <v>0</v>
      </c>
      <c r="S44" s="7">
        <v>1399</v>
      </c>
      <c r="T44" s="22">
        <v>1.3640000000000001E-4</v>
      </c>
    </row>
    <row r="45" spans="1:20" ht="22" customHeight="1">
      <c r="A45" s="7">
        <v>40</v>
      </c>
      <c r="B45" s="7">
        <v>41</v>
      </c>
      <c r="C45" s="7" t="s">
        <v>113</v>
      </c>
      <c r="D45" s="7" t="s">
        <v>95</v>
      </c>
      <c r="E45" s="7" t="s">
        <v>161</v>
      </c>
      <c r="F45" s="7" t="s">
        <v>161</v>
      </c>
      <c r="G45" s="7" t="s">
        <v>161</v>
      </c>
      <c r="H45" s="7" t="s">
        <v>118</v>
      </c>
      <c r="I45" s="7" t="s">
        <v>161</v>
      </c>
      <c r="J45" s="7" t="s">
        <v>161</v>
      </c>
      <c r="K45" s="7" t="s">
        <v>116</v>
      </c>
      <c r="L45" s="7" t="s">
        <v>161</v>
      </c>
      <c r="M45" s="7" t="s">
        <v>161</v>
      </c>
      <c r="N45" s="27" t="b">
        <v>1</v>
      </c>
      <c r="O45" s="27" t="b">
        <v>1</v>
      </c>
      <c r="P45" s="27" t="b">
        <v>1</v>
      </c>
      <c r="Q45" s="27" t="b">
        <v>0</v>
      </c>
      <c r="R45" s="27" t="b">
        <v>0</v>
      </c>
      <c r="S45" s="7">
        <v>1993</v>
      </c>
      <c r="T45" s="22">
        <v>1.3080000000000001E-4</v>
      </c>
    </row>
    <row r="46" spans="1:20" ht="22" customHeight="1">
      <c r="A46" s="7">
        <v>41</v>
      </c>
      <c r="B46" s="7">
        <v>42</v>
      </c>
      <c r="C46" s="7" t="s">
        <v>113</v>
      </c>
      <c r="D46" s="7" t="s">
        <v>95</v>
      </c>
      <c r="E46" s="7" t="s">
        <v>162</v>
      </c>
      <c r="F46" s="7" t="s">
        <v>163</v>
      </c>
      <c r="G46" s="7" t="s">
        <v>163</v>
      </c>
      <c r="H46" s="7" t="s">
        <v>115</v>
      </c>
      <c r="I46" s="7" t="s">
        <v>162</v>
      </c>
      <c r="J46" s="7" t="s">
        <v>162</v>
      </c>
      <c r="K46" s="7" t="s">
        <v>116</v>
      </c>
      <c r="L46" s="7" t="s">
        <v>162</v>
      </c>
      <c r="M46" s="7" t="s">
        <v>162</v>
      </c>
      <c r="N46" s="27" t="b">
        <v>1</v>
      </c>
      <c r="O46" s="27" t="b">
        <v>1</v>
      </c>
      <c r="P46" s="27" t="b">
        <v>1</v>
      </c>
      <c r="Q46" s="27" t="b">
        <v>0</v>
      </c>
      <c r="R46" s="27" t="b">
        <v>0</v>
      </c>
      <c r="S46" s="7">
        <v>1591</v>
      </c>
      <c r="T46" s="22">
        <v>1.4200000000000001E-4</v>
      </c>
    </row>
    <row r="47" spans="1:20" ht="22" customHeight="1">
      <c r="A47" s="7">
        <v>42</v>
      </c>
      <c r="B47" s="7">
        <v>43</v>
      </c>
      <c r="C47" s="7" t="s">
        <v>113</v>
      </c>
      <c r="D47" s="7" t="s">
        <v>95</v>
      </c>
      <c r="E47" s="7" t="s">
        <v>164</v>
      </c>
      <c r="F47" s="7" t="s">
        <v>164</v>
      </c>
      <c r="G47" s="7" t="s">
        <v>164</v>
      </c>
      <c r="H47" s="7" t="s">
        <v>118</v>
      </c>
      <c r="I47" s="7" t="s">
        <v>164</v>
      </c>
      <c r="J47" s="7" t="s">
        <v>164</v>
      </c>
      <c r="K47" s="7" t="s">
        <v>116</v>
      </c>
      <c r="L47" s="7" t="s">
        <v>164</v>
      </c>
      <c r="M47" s="7" t="s">
        <v>164</v>
      </c>
      <c r="N47" s="27" t="b">
        <v>1</v>
      </c>
      <c r="O47" s="27" t="b">
        <v>1</v>
      </c>
      <c r="P47" s="27" t="b">
        <v>1</v>
      </c>
      <c r="Q47" s="27" t="b">
        <v>0</v>
      </c>
      <c r="R47" s="27" t="b">
        <v>0</v>
      </c>
      <c r="S47" s="7">
        <v>1153</v>
      </c>
      <c r="T47" s="22">
        <v>1.304E-4</v>
      </c>
    </row>
    <row r="48" spans="1:20" ht="22" customHeight="1">
      <c r="A48" s="7">
        <v>43</v>
      </c>
      <c r="B48" s="7">
        <v>44</v>
      </c>
      <c r="C48" s="7" t="s">
        <v>113</v>
      </c>
      <c r="D48" s="7" t="s">
        <v>95</v>
      </c>
      <c r="E48" s="7" t="s">
        <v>165</v>
      </c>
      <c r="F48" s="7" t="s">
        <v>165</v>
      </c>
      <c r="G48" s="7" t="s">
        <v>165</v>
      </c>
      <c r="H48" s="7" t="s">
        <v>118</v>
      </c>
      <c r="I48" s="7" t="s">
        <v>165</v>
      </c>
      <c r="J48" s="7" t="s">
        <v>165</v>
      </c>
      <c r="K48" s="7" t="s">
        <v>116</v>
      </c>
      <c r="L48" s="7" t="s">
        <v>165</v>
      </c>
      <c r="M48" s="7" t="s">
        <v>165</v>
      </c>
      <c r="N48" s="27" t="b">
        <v>1</v>
      </c>
      <c r="O48" s="27" t="b">
        <v>1</v>
      </c>
      <c r="P48" s="27" t="b">
        <v>1</v>
      </c>
      <c r="Q48" s="27" t="b">
        <v>0</v>
      </c>
      <c r="R48" s="27" t="b">
        <v>0</v>
      </c>
      <c r="S48" s="7">
        <v>1150</v>
      </c>
      <c r="T48" s="22">
        <v>1.2640000000000001E-4</v>
      </c>
    </row>
    <row r="49" spans="1:20" ht="22" customHeight="1">
      <c r="A49" s="7">
        <v>44</v>
      </c>
      <c r="B49" s="7">
        <v>45</v>
      </c>
      <c r="C49" s="7" t="s">
        <v>113</v>
      </c>
      <c r="D49" s="7" t="s">
        <v>95</v>
      </c>
      <c r="E49" s="7" t="s">
        <v>166</v>
      </c>
      <c r="F49" s="7" t="s">
        <v>166</v>
      </c>
      <c r="G49" s="7" t="s">
        <v>166</v>
      </c>
      <c r="H49" s="7" t="s">
        <v>118</v>
      </c>
      <c r="I49" s="7" t="s">
        <v>166</v>
      </c>
      <c r="J49" s="7" t="s">
        <v>166</v>
      </c>
      <c r="K49" s="7" t="s">
        <v>116</v>
      </c>
      <c r="L49" s="7" t="s">
        <v>166</v>
      </c>
      <c r="M49" s="7" t="s">
        <v>166</v>
      </c>
      <c r="N49" s="27" t="b">
        <v>1</v>
      </c>
      <c r="O49" s="27" t="b">
        <v>1</v>
      </c>
      <c r="P49" s="27" t="b">
        <v>1</v>
      </c>
      <c r="Q49" s="27" t="b">
        <v>0</v>
      </c>
      <c r="R49" s="27" t="b">
        <v>0</v>
      </c>
      <c r="S49" s="7">
        <v>1157</v>
      </c>
      <c r="T49" s="22">
        <v>1.2880000000000001E-4</v>
      </c>
    </row>
    <row r="50" spans="1:20" ht="22" customHeight="1">
      <c r="A50" s="7">
        <v>45</v>
      </c>
      <c r="B50" s="7">
        <v>46</v>
      </c>
      <c r="C50" s="7" t="s">
        <v>113</v>
      </c>
      <c r="D50" s="7" t="s">
        <v>95</v>
      </c>
      <c r="E50" s="7" t="s">
        <v>167</v>
      </c>
      <c r="F50" s="7" t="s">
        <v>167</v>
      </c>
      <c r="G50" s="7" t="s">
        <v>167</v>
      </c>
      <c r="H50" s="7" t="s">
        <v>118</v>
      </c>
      <c r="I50" s="7" t="s">
        <v>167</v>
      </c>
      <c r="J50" s="7" t="s">
        <v>167</v>
      </c>
      <c r="K50" s="7" t="s">
        <v>116</v>
      </c>
      <c r="L50" s="7" t="s">
        <v>167</v>
      </c>
      <c r="M50" s="7" t="s">
        <v>167</v>
      </c>
      <c r="N50" s="27" t="b">
        <v>1</v>
      </c>
      <c r="O50" s="27" t="b">
        <v>1</v>
      </c>
      <c r="P50" s="27" t="b">
        <v>1</v>
      </c>
      <c r="Q50" s="27" t="b">
        <v>0</v>
      </c>
      <c r="R50" s="27" t="b">
        <v>0</v>
      </c>
      <c r="S50" s="7">
        <v>1957</v>
      </c>
      <c r="T50" s="22">
        <v>1.44E-4</v>
      </c>
    </row>
    <row r="51" spans="1:20" ht="22" customHeight="1">
      <c r="A51" s="7">
        <v>46</v>
      </c>
      <c r="B51" s="7">
        <v>47</v>
      </c>
      <c r="C51" s="7" t="s">
        <v>113</v>
      </c>
      <c r="D51" s="7" t="s">
        <v>95</v>
      </c>
      <c r="E51" s="7" t="s">
        <v>168</v>
      </c>
      <c r="F51" s="7" t="s">
        <v>168</v>
      </c>
      <c r="G51" s="7" t="s">
        <v>168</v>
      </c>
      <c r="H51" s="7" t="s">
        <v>118</v>
      </c>
      <c r="I51" s="7" t="s">
        <v>168</v>
      </c>
      <c r="J51" s="7" t="s">
        <v>168</v>
      </c>
      <c r="K51" s="7" t="s">
        <v>116</v>
      </c>
      <c r="L51" s="7" t="s">
        <v>168</v>
      </c>
      <c r="M51" s="7" t="s">
        <v>168</v>
      </c>
      <c r="N51" s="27" t="b">
        <v>1</v>
      </c>
      <c r="O51" s="27" t="b">
        <v>1</v>
      </c>
      <c r="P51" s="27" t="b">
        <v>1</v>
      </c>
      <c r="Q51" s="27" t="b">
        <v>0</v>
      </c>
      <c r="R51" s="27" t="b">
        <v>0</v>
      </c>
      <c r="S51" s="7">
        <v>1172</v>
      </c>
      <c r="T51" s="22">
        <v>1.338E-4</v>
      </c>
    </row>
    <row r="52" spans="1:20" ht="22" customHeight="1">
      <c r="A52" s="7">
        <v>47</v>
      </c>
      <c r="B52" s="7">
        <v>48</v>
      </c>
      <c r="C52" s="7" t="s">
        <v>113</v>
      </c>
      <c r="D52" s="7" t="s">
        <v>95</v>
      </c>
      <c r="E52" s="7" t="s">
        <v>169</v>
      </c>
      <c r="F52" s="7" t="s">
        <v>169</v>
      </c>
      <c r="G52" s="7" t="s">
        <v>169</v>
      </c>
      <c r="H52" s="7" t="s">
        <v>118</v>
      </c>
      <c r="I52" s="7" t="s">
        <v>169</v>
      </c>
      <c r="J52" s="7" t="s">
        <v>169</v>
      </c>
      <c r="K52" s="7" t="s">
        <v>116</v>
      </c>
      <c r="L52" s="7" t="s">
        <v>169</v>
      </c>
      <c r="M52" s="7" t="s">
        <v>169</v>
      </c>
      <c r="N52" s="27" t="b">
        <v>1</v>
      </c>
      <c r="O52" s="27" t="b">
        <v>1</v>
      </c>
      <c r="P52" s="27" t="b">
        <v>1</v>
      </c>
      <c r="Q52" s="27" t="b">
        <v>0</v>
      </c>
      <c r="R52" s="27" t="b">
        <v>0</v>
      </c>
      <c r="S52" s="7">
        <v>1007</v>
      </c>
      <c r="T52" s="22">
        <v>1.2720000000000003E-4</v>
      </c>
    </row>
    <row r="53" spans="1:20" ht="22" customHeight="1">
      <c r="A53" s="7">
        <v>48</v>
      </c>
      <c r="B53" s="7">
        <v>49</v>
      </c>
      <c r="C53" s="7" t="s">
        <v>113</v>
      </c>
      <c r="D53" s="7" t="s">
        <v>95</v>
      </c>
      <c r="E53" s="7" t="s">
        <v>170</v>
      </c>
      <c r="F53" s="7" t="s">
        <v>170</v>
      </c>
      <c r="G53" s="7" t="s">
        <v>170</v>
      </c>
      <c r="H53" s="7" t="s">
        <v>118</v>
      </c>
      <c r="I53" s="7" t="s">
        <v>170</v>
      </c>
      <c r="J53" s="7" t="s">
        <v>170</v>
      </c>
      <c r="K53" s="7" t="s">
        <v>116</v>
      </c>
      <c r="L53" s="7" t="s">
        <v>170</v>
      </c>
      <c r="M53" s="7" t="s">
        <v>170</v>
      </c>
      <c r="N53" s="27" t="b">
        <v>1</v>
      </c>
      <c r="O53" s="27" t="b">
        <v>1</v>
      </c>
      <c r="P53" s="27" t="b">
        <v>1</v>
      </c>
      <c r="Q53" s="27" t="b">
        <v>0</v>
      </c>
      <c r="R53" s="27" t="b">
        <v>0</v>
      </c>
      <c r="S53" s="7">
        <v>1108</v>
      </c>
      <c r="T53" s="22">
        <v>1.2899999999999999E-4</v>
      </c>
    </row>
    <row r="54" spans="1:20" ht="22" customHeight="1">
      <c r="A54" s="7">
        <v>49</v>
      </c>
      <c r="B54" s="7">
        <v>50</v>
      </c>
      <c r="C54" s="7" t="s">
        <v>113</v>
      </c>
      <c r="D54" s="7" t="s">
        <v>95</v>
      </c>
      <c r="E54" s="7" t="s">
        <v>171</v>
      </c>
      <c r="F54" s="7" t="s">
        <v>171</v>
      </c>
      <c r="G54" s="7" t="s">
        <v>171</v>
      </c>
      <c r="H54" s="7" t="s">
        <v>118</v>
      </c>
      <c r="I54" s="7" t="s">
        <v>171</v>
      </c>
      <c r="J54" s="7" t="s">
        <v>171</v>
      </c>
      <c r="K54" s="7" t="s">
        <v>116</v>
      </c>
      <c r="L54" s="7" t="s">
        <v>171</v>
      </c>
      <c r="M54" s="7" t="s">
        <v>171</v>
      </c>
      <c r="N54" s="27" t="b">
        <v>1</v>
      </c>
      <c r="O54" s="27" t="b">
        <v>1</v>
      </c>
      <c r="P54" s="27" t="b">
        <v>1</v>
      </c>
      <c r="Q54" s="27" t="b">
        <v>0</v>
      </c>
      <c r="R54" s="27" t="b">
        <v>0</v>
      </c>
      <c r="S54" s="7">
        <v>1135</v>
      </c>
      <c r="T54" s="22">
        <v>1.3759999999999998E-4</v>
      </c>
    </row>
    <row r="55" spans="1:20" ht="22" customHeight="1">
      <c r="A55" s="7">
        <v>50</v>
      </c>
      <c r="B55" s="7">
        <v>51</v>
      </c>
      <c r="C55" s="7" t="s">
        <v>113</v>
      </c>
      <c r="D55" s="7" t="s">
        <v>95</v>
      </c>
      <c r="E55" s="7" t="s">
        <v>172</v>
      </c>
      <c r="F55" s="7" t="s">
        <v>172</v>
      </c>
      <c r="G55" s="7" t="s">
        <v>172</v>
      </c>
      <c r="H55" s="7" t="s">
        <v>118</v>
      </c>
      <c r="I55" s="7" t="s">
        <v>172</v>
      </c>
      <c r="J55" s="7" t="s">
        <v>172</v>
      </c>
      <c r="K55" s="7" t="s">
        <v>116</v>
      </c>
      <c r="L55" s="7" t="s">
        <v>172</v>
      </c>
      <c r="M55" s="7" t="s">
        <v>172</v>
      </c>
      <c r="N55" s="27" t="b">
        <v>1</v>
      </c>
      <c r="O55" s="27" t="b">
        <v>1</v>
      </c>
      <c r="P55" s="27" t="b">
        <v>1</v>
      </c>
      <c r="Q55" s="27" t="b">
        <v>0</v>
      </c>
      <c r="R55" s="27" t="b">
        <v>0</v>
      </c>
      <c r="S55" s="7">
        <v>1076</v>
      </c>
      <c r="T55" s="22">
        <v>1.2980000000000001E-4</v>
      </c>
    </row>
    <row r="56" spans="1:20" ht="22" customHeight="1">
      <c r="A56" s="7">
        <v>51</v>
      </c>
      <c r="B56" s="7">
        <v>52</v>
      </c>
      <c r="C56" s="7" t="s">
        <v>113</v>
      </c>
      <c r="D56" s="7" t="s">
        <v>95</v>
      </c>
      <c r="E56" s="7" t="s">
        <v>173</v>
      </c>
      <c r="F56" s="7" t="s">
        <v>173</v>
      </c>
      <c r="G56" s="7" t="s">
        <v>173</v>
      </c>
      <c r="H56" s="7" t="s">
        <v>118</v>
      </c>
      <c r="I56" s="7" t="s">
        <v>173</v>
      </c>
      <c r="J56" s="7" t="s">
        <v>173</v>
      </c>
      <c r="K56" s="7" t="s">
        <v>116</v>
      </c>
      <c r="L56" s="7" t="s">
        <v>173</v>
      </c>
      <c r="M56" s="7" t="s">
        <v>173</v>
      </c>
      <c r="N56" s="27" t="b">
        <v>1</v>
      </c>
      <c r="O56" s="27" t="b">
        <v>1</v>
      </c>
      <c r="P56" s="27" t="b">
        <v>1</v>
      </c>
      <c r="Q56" s="27" t="b">
        <v>0</v>
      </c>
      <c r="R56" s="27" t="b">
        <v>0</v>
      </c>
      <c r="S56" s="7">
        <v>1117</v>
      </c>
      <c r="T56" s="22">
        <v>1.36E-4</v>
      </c>
    </row>
    <row r="57" spans="1:20" ht="22" customHeight="1">
      <c r="A57" s="7">
        <v>52</v>
      </c>
      <c r="B57" s="7">
        <v>53</v>
      </c>
      <c r="C57" s="7" t="s">
        <v>113</v>
      </c>
      <c r="D57" s="7" t="s">
        <v>95</v>
      </c>
      <c r="E57" s="7" t="s">
        <v>174</v>
      </c>
      <c r="F57" s="7" t="s">
        <v>174</v>
      </c>
      <c r="G57" s="7" t="s">
        <v>174</v>
      </c>
      <c r="H57" s="7" t="s">
        <v>118</v>
      </c>
      <c r="I57" s="7" t="s">
        <v>174</v>
      </c>
      <c r="J57" s="7" t="s">
        <v>174</v>
      </c>
      <c r="K57" s="7" t="s">
        <v>116</v>
      </c>
      <c r="L57" s="7" t="s">
        <v>174</v>
      </c>
      <c r="M57" s="7" t="s">
        <v>174</v>
      </c>
      <c r="N57" s="27" t="b">
        <v>1</v>
      </c>
      <c r="O57" s="27" t="b">
        <v>1</v>
      </c>
      <c r="P57" s="27" t="b">
        <v>1</v>
      </c>
      <c r="Q57" s="27" t="b">
        <v>0</v>
      </c>
      <c r="R57" s="27" t="b">
        <v>0</v>
      </c>
      <c r="S57" s="7">
        <v>1116</v>
      </c>
      <c r="T57" s="22">
        <v>1.3960000000000001E-4</v>
      </c>
    </row>
    <row r="58" spans="1:20" ht="22" customHeight="1">
      <c r="A58" s="7">
        <v>53</v>
      </c>
      <c r="B58" s="7">
        <v>54</v>
      </c>
      <c r="C58" s="7" t="s">
        <v>113</v>
      </c>
      <c r="D58" s="7" t="s">
        <v>95</v>
      </c>
      <c r="E58" s="7" t="s">
        <v>175</v>
      </c>
      <c r="F58" s="7" t="s">
        <v>175</v>
      </c>
      <c r="G58" s="7" t="s">
        <v>175</v>
      </c>
      <c r="H58" s="7" t="s">
        <v>118</v>
      </c>
      <c r="I58" s="7" t="s">
        <v>175</v>
      </c>
      <c r="J58" s="7" t="s">
        <v>175</v>
      </c>
      <c r="K58" s="7" t="s">
        <v>116</v>
      </c>
      <c r="L58" s="7" t="s">
        <v>175</v>
      </c>
      <c r="M58" s="7" t="s">
        <v>175</v>
      </c>
      <c r="N58" s="27" t="b">
        <v>1</v>
      </c>
      <c r="O58" s="27" t="b">
        <v>1</v>
      </c>
      <c r="P58" s="27" t="b">
        <v>1</v>
      </c>
      <c r="Q58" s="27" t="b">
        <v>0</v>
      </c>
      <c r="R58" s="27" t="b">
        <v>0</v>
      </c>
      <c r="S58" s="7">
        <v>1280</v>
      </c>
      <c r="T58" s="22">
        <v>1.2960000000000001E-4</v>
      </c>
    </row>
    <row r="59" spans="1:20" ht="22" customHeight="1">
      <c r="A59" s="7">
        <v>54</v>
      </c>
      <c r="B59" s="7">
        <v>55</v>
      </c>
      <c r="C59" s="7" t="s">
        <v>113</v>
      </c>
      <c r="D59" s="7" t="s">
        <v>95</v>
      </c>
      <c r="E59" s="7" t="s">
        <v>176</v>
      </c>
      <c r="F59" s="7" t="s">
        <v>176</v>
      </c>
      <c r="G59" s="7" t="s">
        <v>176</v>
      </c>
      <c r="H59" s="7" t="s">
        <v>118</v>
      </c>
      <c r="I59" s="7" t="s">
        <v>176</v>
      </c>
      <c r="J59" s="7" t="s">
        <v>176</v>
      </c>
      <c r="K59" s="7" t="s">
        <v>116</v>
      </c>
      <c r="L59" s="7" t="s">
        <v>176</v>
      </c>
      <c r="M59" s="7" t="s">
        <v>176</v>
      </c>
      <c r="N59" s="27" t="b">
        <v>1</v>
      </c>
      <c r="O59" s="27" t="b">
        <v>1</v>
      </c>
      <c r="P59" s="27" t="b">
        <v>1</v>
      </c>
      <c r="Q59" s="27" t="b">
        <v>0</v>
      </c>
      <c r="R59" s="27" t="b">
        <v>0</v>
      </c>
      <c r="S59" s="7">
        <v>1098</v>
      </c>
      <c r="T59" s="22">
        <v>1.304E-4</v>
      </c>
    </row>
    <row r="60" spans="1:20" ht="22" customHeight="1">
      <c r="A60" s="7">
        <v>55</v>
      </c>
      <c r="B60" s="7">
        <v>56</v>
      </c>
      <c r="C60" s="7" t="s">
        <v>113</v>
      </c>
      <c r="D60" s="7" t="s">
        <v>95</v>
      </c>
      <c r="E60" s="7" t="s">
        <v>177</v>
      </c>
      <c r="F60" s="7" t="s">
        <v>177</v>
      </c>
      <c r="G60" s="7" t="s">
        <v>177</v>
      </c>
      <c r="H60" s="7" t="s">
        <v>118</v>
      </c>
      <c r="I60" s="7" t="s">
        <v>177</v>
      </c>
      <c r="J60" s="7" t="s">
        <v>177</v>
      </c>
      <c r="K60" s="7" t="s">
        <v>116</v>
      </c>
      <c r="L60" s="7" t="s">
        <v>177</v>
      </c>
      <c r="M60" s="7" t="s">
        <v>177</v>
      </c>
      <c r="N60" s="27" t="b">
        <v>1</v>
      </c>
      <c r="O60" s="27" t="b">
        <v>1</v>
      </c>
      <c r="P60" s="27" t="b">
        <v>1</v>
      </c>
      <c r="Q60" s="27" t="b">
        <v>0</v>
      </c>
      <c r="R60" s="27" t="b">
        <v>0</v>
      </c>
      <c r="S60" s="7">
        <v>1129</v>
      </c>
      <c r="T60" s="22">
        <v>1.2640000000000001E-4</v>
      </c>
    </row>
    <row r="61" spans="1:20" ht="22" customHeight="1">
      <c r="A61" s="7">
        <v>56</v>
      </c>
      <c r="B61" s="7">
        <v>57</v>
      </c>
      <c r="C61" s="7" t="s">
        <v>113</v>
      </c>
      <c r="D61" s="7" t="s">
        <v>95</v>
      </c>
      <c r="E61" s="7" t="s">
        <v>178</v>
      </c>
      <c r="F61" s="7" t="s">
        <v>178</v>
      </c>
      <c r="G61" s="7" t="s">
        <v>178</v>
      </c>
      <c r="H61" s="7" t="s">
        <v>118</v>
      </c>
      <c r="I61" s="7" t="s">
        <v>178</v>
      </c>
      <c r="J61" s="7" t="s">
        <v>178</v>
      </c>
      <c r="K61" s="7" t="s">
        <v>116</v>
      </c>
      <c r="L61" s="7" t="s">
        <v>178</v>
      </c>
      <c r="M61" s="7" t="s">
        <v>178</v>
      </c>
      <c r="N61" s="27" t="b">
        <v>1</v>
      </c>
      <c r="O61" s="27" t="b">
        <v>1</v>
      </c>
      <c r="P61" s="27" t="b">
        <v>1</v>
      </c>
      <c r="Q61" s="27" t="b">
        <v>0</v>
      </c>
      <c r="R61" s="27" t="b">
        <v>0</v>
      </c>
      <c r="S61" s="7">
        <v>1051</v>
      </c>
      <c r="T61" s="22">
        <v>1.34E-4</v>
      </c>
    </row>
    <row r="62" spans="1:20" ht="22" customHeight="1">
      <c r="A62" s="7">
        <v>57</v>
      </c>
      <c r="B62" s="7">
        <v>58</v>
      </c>
      <c r="C62" s="7" t="s">
        <v>113</v>
      </c>
      <c r="D62" s="7" t="s">
        <v>95</v>
      </c>
      <c r="E62" s="7" t="s">
        <v>179</v>
      </c>
      <c r="F62" s="7" t="s">
        <v>179</v>
      </c>
      <c r="G62" s="7" t="s">
        <v>179</v>
      </c>
      <c r="H62" s="7" t="s">
        <v>118</v>
      </c>
      <c r="I62" s="7" t="s">
        <v>179</v>
      </c>
      <c r="J62" s="7" t="s">
        <v>179</v>
      </c>
      <c r="K62" s="7" t="s">
        <v>116</v>
      </c>
      <c r="L62" s="7" t="s">
        <v>179</v>
      </c>
      <c r="M62" s="7" t="s">
        <v>179</v>
      </c>
      <c r="N62" s="27" t="b">
        <v>1</v>
      </c>
      <c r="O62" s="27" t="b">
        <v>1</v>
      </c>
      <c r="P62" s="27" t="b">
        <v>1</v>
      </c>
      <c r="Q62" s="27" t="b">
        <v>0</v>
      </c>
      <c r="R62" s="27" t="b">
        <v>0</v>
      </c>
      <c r="S62" s="7">
        <v>1636</v>
      </c>
      <c r="T62" s="22">
        <v>1.362E-4</v>
      </c>
    </row>
    <row r="63" spans="1:20" ht="22" customHeight="1">
      <c r="A63" s="7">
        <v>58</v>
      </c>
      <c r="B63" s="7">
        <v>59</v>
      </c>
      <c r="C63" s="7" t="s">
        <v>113</v>
      </c>
      <c r="D63" s="7" t="s">
        <v>95</v>
      </c>
      <c r="E63" s="7" t="s">
        <v>180</v>
      </c>
      <c r="F63" s="7" t="s">
        <v>180</v>
      </c>
      <c r="G63" s="7" t="s">
        <v>180</v>
      </c>
      <c r="H63" s="7" t="s">
        <v>118</v>
      </c>
      <c r="I63" s="7" t="s">
        <v>180</v>
      </c>
      <c r="J63" s="7" t="s">
        <v>180</v>
      </c>
      <c r="K63" s="7" t="s">
        <v>116</v>
      </c>
      <c r="L63" s="7" t="s">
        <v>180</v>
      </c>
      <c r="M63" s="7" t="s">
        <v>180</v>
      </c>
      <c r="N63" s="27" t="b">
        <v>1</v>
      </c>
      <c r="O63" s="27" t="b">
        <v>1</v>
      </c>
      <c r="P63" s="27" t="b">
        <v>1</v>
      </c>
      <c r="Q63" s="27" t="b">
        <v>0</v>
      </c>
      <c r="R63" s="27" t="b">
        <v>0</v>
      </c>
      <c r="S63" s="7">
        <v>1141</v>
      </c>
      <c r="T63" s="22">
        <v>1.2740000000000001E-4</v>
      </c>
    </row>
    <row r="64" spans="1:20" ht="22" customHeight="1">
      <c r="A64" s="7">
        <v>59</v>
      </c>
      <c r="B64" s="7">
        <v>60</v>
      </c>
      <c r="C64" s="7" t="s">
        <v>113</v>
      </c>
      <c r="D64" s="7" t="s">
        <v>95</v>
      </c>
      <c r="E64" s="7" t="s">
        <v>181</v>
      </c>
      <c r="F64" s="7" t="s">
        <v>181</v>
      </c>
      <c r="G64" s="7" t="s">
        <v>181</v>
      </c>
      <c r="H64" s="7" t="s">
        <v>118</v>
      </c>
      <c r="I64" s="7" t="s">
        <v>181</v>
      </c>
      <c r="J64" s="7" t="s">
        <v>181</v>
      </c>
      <c r="K64" s="7" t="s">
        <v>116</v>
      </c>
      <c r="L64" s="7" t="s">
        <v>181</v>
      </c>
      <c r="M64" s="7" t="s">
        <v>181</v>
      </c>
      <c r="N64" s="27" t="b">
        <v>1</v>
      </c>
      <c r="O64" s="27" t="b">
        <v>1</v>
      </c>
      <c r="P64" s="27" t="b">
        <v>1</v>
      </c>
      <c r="Q64" s="27" t="b">
        <v>0</v>
      </c>
      <c r="R64" s="27" t="b">
        <v>0</v>
      </c>
      <c r="S64" s="7">
        <v>1226</v>
      </c>
      <c r="T64" s="22">
        <v>1.2880000000000001E-4</v>
      </c>
    </row>
    <row r="65" spans="1:20" ht="22" customHeight="1">
      <c r="A65" s="7">
        <v>60</v>
      </c>
      <c r="B65" s="7">
        <v>61</v>
      </c>
      <c r="C65" s="7" t="s">
        <v>113</v>
      </c>
      <c r="D65" s="7" t="s">
        <v>95</v>
      </c>
      <c r="E65" s="7" t="s">
        <v>182</v>
      </c>
      <c r="F65" s="7" t="s">
        <v>182</v>
      </c>
      <c r="G65" s="7" t="s">
        <v>182</v>
      </c>
      <c r="H65" s="7" t="s">
        <v>118</v>
      </c>
      <c r="I65" s="7" t="s">
        <v>182</v>
      </c>
      <c r="J65" s="7" t="s">
        <v>182</v>
      </c>
      <c r="K65" s="7" t="s">
        <v>116</v>
      </c>
      <c r="L65" s="7" t="s">
        <v>182</v>
      </c>
      <c r="M65" s="7" t="s">
        <v>182</v>
      </c>
      <c r="N65" s="27" t="b">
        <v>1</v>
      </c>
      <c r="O65" s="27" t="b">
        <v>1</v>
      </c>
      <c r="P65" s="27" t="b">
        <v>1</v>
      </c>
      <c r="Q65" s="27" t="b">
        <v>0</v>
      </c>
      <c r="R65" s="27" t="b">
        <v>0</v>
      </c>
      <c r="S65" s="7">
        <v>1255</v>
      </c>
      <c r="T65" s="22">
        <v>1.306E-4</v>
      </c>
    </row>
    <row r="66" spans="1:20" ht="22" customHeight="1">
      <c r="A66" s="7">
        <v>61</v>
      </c>
      <c r="B66" s="7">
        <v>62</v>
      </c>
      <c r="C66" s="7" t="s">
        <v>113</v>
      </c>
      <c r="D66" s="7" t="s">
        <v>95</v>
      </c>
      <c r="E66" s="7" t="s">
        <v>183</v>
      </c>
      <c r="F66" s="7" t="s">
        <v>183</v>
      </c>
      <c r="G66" s="7" t="s">
        <v>183</v>
      </c>
      <c r="H66" s="7" t="s">
        <v>118</v>
      </c>
      <c r="I66" s="7" t="s">
        <v>183</v>
      </c>
      <c r="J66" s="7" t="s">
        <v>183</v>
      </c>
      <c r="K66" s="7" t="s">
        <v>116</v>
      </c>
      <c r="L66" s="7" t="s">
        <v>183</v>
      </c>
      <c r="M66" s="7" t="s">
        <v>183</v>
      </c>
      <c r="N66" s="27" t="b">
        <v>1</v>
      </c>
      <c r="O66" s="27" t="b">
        <v>1</v>
      </c>
      <c r="P66" s="27" t="b">
        <v>1</v>
      </c>
      <c r="Q66" s="27" t="b">
        <v>0</v>
      </c>
      <c r="R66" s="27" t="b">
        <v>0</v>
      </c>
      <c r="S66" s="7">
        <v>1162</v>
      </c>
      <c r="T66" s="22">
        <v>1.2980000000000001E-4</v>
      </c>
    </row>
    <row r="67" spans="1:20" ht="22" customHeight="1">
      <c r="A67" s="7">
        <v>62</v>
      </c>
      <c r="B67" s="7">
        <v>63</v>
      </c>
      <c r="C67" s="7" t="s">
        <v>113</v>
      </c>
      <c r="D67" s="7" t="s">
        <v>95</v>
      </c>
      <c r="E67" s="7" t="s">
        <v>184</v>
      </c>
      <c r="F67" s="7" t="s">
        <v>185</v>
      </c>
      <c r="G67" s="7" t="s">
        <v>185</v>
      </c>
      <c r="H67" s="7" t="s">
        <v>115</v>
      </c>
      <c r="I67" s="7" t="s">
        <v>184</v>
      </c>
      <c r="J67" s="7" t="s">
        <v>184</v>
      </c>
      <c r="K67" s="7" t="s">
        <v>116</v>
      </c>
      <c r="L67" s="7" t="s">
        <v>184</v>
      </c>
      <c r="M67" s="7" t="s">
        <v>184</v>
      </c>
      <c r="N67" s="27" t="b">
        <v>1</v>
      </c>
      <c r="O67" s="27" t="b">
        <v>1</v>
      </c>
      <c r="P67" s="27" t="b">
        <v>1</v>
      </c>
      <c r="Q67" s="27" t="b">
        <v>0</v>
      </c>
      <c r="R67" s="27" t="b">
        <v>0</v>
      </c>
      <c r="S67" s="7">
        <v>5129</v>
      </c>
      <c r="T67" s="22">
        <v>1.3820000000000003E-4</v>
      </c>
    </row>
    <row r="68" spans="1:20" ht="22" customHeight="1">
      <c r="A68" s="7">
        <v>63</v>
      </c>
      <c r="B68" s="7">
        <v>64</v>
      </c>
      <c r="C68" s="7" t="s">
        <v>113</v>
      </c>
      <c r="D68" s="7" t="s">
        <v>95</v>
      </c>
      <c r="E68" s="7" t="s">
        <v>186</v>
      </c>
      <c r="F68" s="7" t="s">
        <v>187</v>
      </c>
      <c r="G68" s="7" t="s">
        <v>187</v>
      </c>
      <c r="H68" s="7" t="s">
        <v>115</v>
      </c>
      <c r="I68" s="7" t="s">
        <v>186</v>
      </c>
      <c r="J68" s="7" t="s">
        <v>186</v>
      </c>
      <c r="K68" s="7" t="s">
        <v>116</v>
      </c>
      <c r="L68" s="7" t="s">
        <v>186</v>
      </c>
      <c r="M68" s="7" t="s">
        <v>186</v>
      </c>
      <c r="N68" s="27" t="b">
        <v>1</v>
      </c>
      <c r="O68" s="27" t="b">
        <v>1</v>
      </c>
      <c r="P68" s="27" t="b">
        <v>1</v>
      </c>
      <c r="Q68" s="27" t="b">
        <v>0</v>
      </c>
      <c r="R68" s="27" t="b">
        <v>0</v>
      </c>
      <c r="S68" s="7">
        <v>2044</v>
      </c>
      <c r="T68" s="22">
        <v>1.526E-4</v>
      </c>
    </row>
    <row r="69" spans="1:20" ht="22" customHeight="1">
      <c r="A69" s="7">
        <v>64</v>
      </c>
      <c r="B69" s="7">
        <v>65</v>
      </c>
      <c r="C69" s="7" t="s">
        <v>113</v>
      </c>
      <c r="D69" s="7" t="s">
        <v>95</v>
      </c>
      <c r="E69" s="7" t="s">
        <v>188</v>
      </c>
      <c r="F69" s="7" t="s">
        <v>188</v>
      </c>
      <c r="G69" s="7" t="s">
        <v>188</v>
      </c>
      <c r="H69" s="7" t="s">
        <v>118</v>
      </c>
      <c r="I69" s="7" t="s">
        <v>188</v>
      </c>
      <c r="J69" s="7" t="s">
        <v>188</v>
      </c>
      <c r="K69" s="7" t="s">
        <v>116</v>
      </c>
      <c r="L69" s="7" t="s">
        <v>188</v>
      </c>
      <c r="M69" s="7" t="s">
        <v>188</v>
      </c>
      <c r="N69" s="27" t="b">
        <v>1</v>
      </c>
      <c r="O69" s="27" t="b">
        <v>1</v>
      </c>
      <c r="P69" s="27" t="b">
        <v>1</v>
      </c>
      <c r="Q69" s="27" t="b">
        <v>0</v>
      </c>
      <c r="R69" s="27" t="b">
        <v>0</v>
      </c>
      <c r="S69" s="7">
        <v>1295</v>
      </c>
      <c r="T69" s="22">
        <v>1.2820000000000003E-4</v>
      </c>
    </row>
    <row r="70" spans="1:20" ht="22" customHeight="1">
      <c r="A70" s="7">
        <v>65</v>
      </c>
      <c r="B70" s="7">
        <v>66</v>
      </c>
      <c r="C70" s="7" t="s">
        <v>92</v>
      </c>
      <c r="D70" s="7" t="s">
        <v>95</v>
      </c>
      <c r="E70" s="7" t="s">
        <v>189</v>
      </c>
      <c r="F70" s="7" t="s">
        <v>190</v>
      </c>
      <c r="G70" s="7" t="s">
        <v>190</v>
      </c>
      <c r="H70" s="7" t="s">
        <v>115</v>
      </c>
      <c r="I70" s="7" t="s">
        <v>189</v>
      </c>
      <c r="J70" s="7" t="s">
        <v>189</v>
      </c>
      <c r="K70" s="7" t="s">
        <v>116</v>
      </c>
      <c r="L70" s="7" t="s">
        <v>189</v>
      </c>
      <c r="M70" s="7" t="s">
        <v>189</v>
      </c>
      <c r="N70" s="27" t="b">
        <v>1</v>
      </c>
      <c r="O70" s="27" t="b">
        <v>1</v>
      </c>
      <c r="P70" s="27" t="b">
        <v>1</v>
      </c>
      <c r="Q70" s="27" t="b">
        <v>0</v>
      </c>
      <c r="R70" s="27" t="b">
        <v>0</v>
      </c>
      <c r="S70" s="7">
        <v>1228</v>
      </c>
      <c r="T70" s="22">
        <v>1.784E-4</v>
      </c>
    </row>
    <row r="71" spans="1:20" ht="22" customHeight="1">
      <c r="A71" s="7">
        <v>66</v>
      </c>
      <c r="B71" s="7">
        <v>67</v>
      </c>
      <c r="C71" s="7" t="s">
        <v>113</v>
      </c>
      <c r="D71" s="7" t="s">
        <v>95</v>
      </c>
      <c r="E71" s="7" t="s">
        <v>191</v>
      </c>
      <c r="F71" s="7" t="s">
        <v>192</v>
      </c>
      <c r="G71" s="7" t="s">
        <v>192</v>
      </c>
      <c r="H71" s="7" t="s">
        <v>115</v>
      </c>
      <c r="I71" s="7" t="s">
        <v>191</v>
      </c>
      <c r="J71" s="7" t="s">
        <v>191</v>
      </c>
      <c r="K71" s="7" t="s">
        <v>116</v>
      </c>
      <c r="L71" s="7" t="s">
        <v>191</v>
      </c>
      <c r="M71" s="7" t="s">
        <v>191</v>
      </c>
      <c r="N71" s="27" t="b">
        <v>1</v>
      </c>
      <c r="O71" s="27" t="b">
        <v>1</v>
      </c>
      <c r="P71" s="27" t="b">
        <v>1</v>
      </c>
      <c r="Q71" s="27" t="b">
        <v>0</v>
      </c>
      <c r="R71" s="27" t="b">
        <v>0</v>
      </c>
      <c r="S71" s="7">
        <v>1606</v>
      </c>
      <c r="T71" s="22">
        <v>1.8420000000000001E-4</v>
      </c>
    </row>
    <row r="72" spans="1:20" ht="22" customHeight="1">
      <c r="A72" s="7">
        <v>67</v>
      </c>
      <c r="B72" s="7">
        <v>68</v>
      </c>
      <c r="C72" s="7" t="s">
        <v>113</v>
      </c>
      <c r="D72" s="7" t="s">
        <v>95</v>
      </c>
      <c r="E72" s="7" t="s">
        <v>193</v>
      </c>
      <c r="F72" s="7" t="s">
        <v>194</v>
      </c>
      <c r="G72" s="7" t="s">
        <v>194</v>
      </c>
      <c r="H72" s="7" t="s">
        <v>115</v>
      </c>
      <c r="I72" s="7" t="s">
        <v>193</v>
      </c>
      <c r="J72" s="7" t="s">
        <v>193</v>
      </c>
      <c r="K72" s="7" t="s">
        <v>116</v>
      </c>
      <c r="L72" s="7" t="s">
        <v>193</v>
      </c>
      <c r="M72" s="7" t="s">
        <v>193</v>
      </c>
      <c r="N72" s="27" t="b">
        <v>1</v>
      </c>
      <c r="O72" s="27" t="b">
        <v>1</v>
      </c>
      <c r="P72" s="27" t="b">
        <v>1</v>
      </c>
      <c r="Q72" s="27" t="b">
        <v>0</v>
      </c>
      <c r="R72" s="27" t="b">
        <v>0</v>
      </c>
      <c r="S72" s="7">
        <v>1166</v>
      </c>
      <c r="T72" s="22">
        <v>1.728E-4</v>
      </c>
    </row>
    <row r="73" spans="1:20" ht="22" customHeight="1">
      <c r="A73" s="7">
        <v>68</v>
      </c>
      <c r="B73" s="7">
        <v>69</v>
      </c>
      <c r="C73" s="7" t="s">
        <v>92</v>
      </c>
      <c r="D73" s="7" t="s">
        <v>95</v>
      </c>
      <c r="E73" s="7" t="s">
        <v>195</v>
      </c>
      <c r="F73" s="7" t="s">
        <v>196</v>
      </c>
      <c r="G73" s="7" t="s">
        <v>196</v>
      </c>
      <c r="H73" s="7" t="s">
        <v>115</v>
      </c>
      <c r="I73" s="7" t="s">
        <v>195</v>
      </c>
      <c r="J73" s="7" t="s">
        <v>195</v>
      </c>
      <c r="K73" s="7" t="s">
        <v>116</v>
      </c>
      <c r="L73" s="7" t="s">
        <v>195</v>
      </c>
      <c r="M73" s="7" t="s">
        <v>195</v>
      </c>
      <c r="N73" s="27" t="b">
        <v>1</v>
      </c>
      <c r="O73" s="27" t="b">
        <v>1</v>
      </c>
      <c r="P73" s="27" t="b">
        <v>1</v>
      </c>
      <c r="Q73" s="27" t="b">
        <v>0</v>
      </c>
      <c r="R73" s="27" t="b">
        <v>0</v>
      </c>
      <c r="S73" s="7">
        <v>1272</v>
      </c>
      <c r="T73" s="22">
        <v>2.5480000000000001E-4</v>
      </c>
    </row>
    <row r="74" spans="1:20" ht="22" customHeight="1">
      <c r="A74" s="7">
        <v>69</v>
      </c>
      <c r="B74" s="7">
        <v>70</v>
      </c>
      <c r="C74" s="7" t="s">
        <v>113</v>
      </c>
      <c r="D74" s="7" t="s">
        <v>95</v>
      </c>
      <c r="E74" s="7" t="s">
        <v>197</v>
      </c>
      <c r="F74" s="7" t="s">
        <v>198</v>
      </c>
      <c r="G74" s="7" t="s">
        <v>199</v>
      </c>
      <c r="H74" s="7" t="s">
        <v>115</v>
      </c>
      <c r="I74" s="7" t="s">
        <v>197</v>
      </c>
      <c r="J74" s="7" t="s">
        <v>197</v>
      </c>
      <c r="K74" s="7" t="s">
        <v>116</v>
      </c>
      <c r="L74" s="7" t="s">
        <v>197</v>
      </c>
      <c r="M74" s="7" t="s">
        <v>197</v>
      </c>
      <c r="N74" s="27" t="b">
        <v>1</v>
      </c>
      <c r="O74" s="27" t="b">
        <v>1</v>
      </c>
      <c r="P74" s="27" t="b">
        <v>1</v>
      </c>
      <c r="Q74" s="27" t="b">
        <v>0</v>
      </c>
      <c r="R74" s="27" t="b">
        <v>0</v>
      </c>
      <c r="S74" s="7">
        <v>2128</v>
      </c>
      <c r="T74" s="22">
        <v>3.8224999999999999E-4</v>
      </c>
    </row>
    <row r="75" spans="1:20" ht="22" customHeight="1">
      <c r="A75" s="7">
        <v>70</v>
      </c>
      <c r="B75" s="7">
        <v>71</v>
      </c>
      <c r="C75" s="7" t="s">
        <v>113</v>
      </c>
      <c r="D75" s="7" t="s">
        <v>95</v>
      </c>
      <c r="E75" s="7" t="s">
        <v>200</v>
      </c>
      <c r="F75" s="7" t="s">
        <v>201</v>
      </c>
      <c r="G75" s="7" t="s">
        <v>201</v>
      </c>
      <c r="H75" s="7" t="s">
        <v>115</v>
      </c>
      <c r="I75" s="7" t="s">
        <v>200</v>
      </c>
      <c r="J75" s="7" t="s">
        <v>200</v>
      </c>
      <c r="K75" s="7" t="s">
        <v>116</v>
      </c>
      <c r="L75" s="7" t="s">
        <v>200</v>
      </c>
      <c r="M75" s="7" t="s">
        <v>200</v>
      </c>
      <c r="N75" s="27" t="b">
        <v>1</v>
      </c>
      <c r="O75" s="27" t="b">
        <v>1</v>
      </c>
      <c r="P75" s="27" t="b">
        <v>1</v>
      </c>
      <c r="Q75" s="27" t="b">
        <v>0</v>
      </c>
      <c r="R75" s="27" t="b">
        <v>0</v>
      </c>
      <c r="S75" s="7">
        <v>1801</v>
      </c>
      <c r="T75" s="22">
        <v>1.9340000000000001E-4</v>
      </c>
    </row>
    <row r="76" spans="1:20" ht="22" customHeight="1">
      <c r="A76" s="7">
        <v>71</v>
      </c>
      <c r="B76" s="7">
        <v>72</v>
      </c>
      <c r="C76" s="7" t="s">
        <v>92</v>
      </c>
      <c r="D76" s="7" t="s">
        <v>95</v>
      </c>
      <c r="E76" s="7" t="s">
        <v>202</v>
      </c>
      <c r="F76" s="7" t="s">
        <v>203</v>
      </c>
      <c r="G76" s="7" t="s">
        <v>203</v>
      </c>
      <c r="H76" s="7" t="s">
        <v>115</v>
      </c>
      <c r="I76" s="7" t="s">
        <v>202</v>
      </c>
      <c r="J76" s="7" t="s">
        <v>202</v>
      </c>
      <c r="K76" s="7" t="s">
        <v>116</v>
      </c>
      <c r="L76" s="7" t="s">
        <v>202</v>
      </c>
      <c r="M76" s="7" t="s">
        <v>202</v>
      </c>
      <c r="N76" s="27" t="b">
        <v>1</v>
      </c>
      <c r="O76" s="27" t="b">
        <v>1</v>
      </c>
      <c r="P76" s="27" t="b">
        <v>1</v>
      </c>
      <c r="Q76" s="27" t="b">
        <v>0</v>
      </c>
      <c r="R76" s="27" t="b">
        <v>0</v>
      </c>
      <c r="S76" s="7">
        <v>1030</v>
      </c>
      <c r="T76" s="22">
        <v>3.0875E-4</v>
      </c>
    </row>
    <row r="77" spans="1:20" ht="22" customHeight="1">
      <c r="A77" s="7">
        <v>72</v>
      </c>
      <c r="B77" s="7">
        <v>73</v>
      </c>
      <c r="C77" s="7" t="s">
        <v>92</v>
      </c>
      <c r="D77" s="7" t="s">
        <v>95</v>
      </c>
      <c r="E77" s="7" t="s">
        <v>204</v>
      </c>
      <c r="F77" s="7" t="s">
        <v>205</v>
      </c>
      <c r="G77" s="7" t="s">
        <v>206</v>
      </c>
      <c r="H77" s="7" t="s">
        <v>115</v>
      </c>
      <c r="I77" s="7" t="s">
        <v>204</v>
      </c>
      <c r="J77" s="7" t="s">
        <v>204</v>
      </c>
      <c r="K77" s="7" t="s">
        <v>116</v>
      </c>
      <c r="L77" s="7" t="s">
        <v>204</v>
      </c>
      <c r="M77" s="7" t="s">
        <v>204</v>
      </c>
      <c r="N77" s="27" t="b">
        <v>1</v>
      </c>
      <c r="O77" s="27" t="b">
        <v>1</v>
      </c>
      <c r="P77" s="27" t="b">
        <v>1</v>
      </c>
      <c r="Q77" s="27" t="b">
        <v>0</v>
      </c>
      <c r="R77" s="27" t="b">
        <v>0</v>
      </c>
      <c r="S77" s="7">
        <v>1966</v>
      </c>
      <c r="T77" s="22">
        <v>2.1260000000000002E-4</v>
      </c>
    </row>
    <row r="78" spans="1:20" ht="22" customHeight="1">
      <c r="A78" s="7">
        <v>73</v>
      </c>
      <c r="B78" s="7">
        <v>74</v>
      </c>
      <c r="C78" s="7" t="s">
        <v>92</v>
      </c>
      <c r="D78" s="7" t="s">
        <v>93</v>
      </c>
      <c r="E78" s="7" t="s">
        <v>207</v>
      </c>
      <c r="F78" s="7" t="s">
        <v>208</v>
      </c>
      <c r="G78" s="7"/>
      <c r="H78" s="7" t="s">
        <v>115</v>
      </c>
      <c r="I78" s="7"/>
      <c r="J78" s="7"/>
      <c r="K78" s="7" t="s">
        <v>116</v>
      </c>
      <c r="L78" s="7"/>
      <c r="M78" s="7"/>
      <c r="N78" s="27" t="b">
        <v>1</v>
      </c>
      <c r="O78" s="27" t="b">
        <v>0</v>
      </c>
      <c r="P78" s="27" t="b">
        <v>0</v>
      </c>
      <c r="Q78" s="27" t="b">
        <v>1</v>
      </c>
      <c r="R78" s="27" t="b">
        <v>0</v>
      </c>
      <c r="S78" s="7">
        <v>1623</v>
      </c>
      <c r="T78" s="22">
        <v>3.0590000000000001E-4</v>
      </c>
    </row>
    <row r="79" spans="1:20" ht="22" customHeight="1">
      <c r="A79" s="7">
        <v>74</v>
      </c>
      <c r="B79" s="7">
        <v>75</v>
      </c>
      <c r="C79" s="7" t="s">
        <v>92</v>
      </c>
      <c r="D79" s="7" t="s">
        <v>95</v>
      </c>
      <c r="E79" s="7" t="s">
        <v>209</v>
      </c>
      <c r="F79" s="7" t="s">
        <v>210</v>
      </c>
      <c r="G79" s="7" t="s">
        <v>210</v>
      </c>
      <c r="H79" s="7" t="s">
        <v>115</v>
      </c>
      <c r="I79" s="7" t="s">
        <v>209</v>
      </c>
      <c r="J79" s="7" t="s">
        <v>209</v>
      </c>
      <c r="K79" s="7" t="s">
        <v>116</v>
      </c>
      <c r="L79" s="7" t="s">
        <v>209</v>
      </c>
      <c r="M79" s="7" t="s">
        <v>209</v>
      </c>
      <c r="N79" s="27" t="b">
        <v>1</v>
      </c>
      <c r="O79" s="27" t="b">
        <v>1</v>
      </c>
      <c r="P79" s="27" t="b">
        <v>1</v>
      </c>
      <c r="Q79" s="27" t="b">
        <v>0</v>
      </c>
      <c r="R79" s="27" t="b">
        <v>0</v>
      </c>
      <c r="S79" s="7">
        <v>1162</v>
      </c>
      <c r="T79" s="22">
        <v>2.3340000000000001E-4</v>
      </c>
    </row>
    <row r="80" spans="1:20" ht="22" customHeight="1">
      <c r="A80" s="7">
        <v>75</v>
      </c>
      <c r="B80" s="7">
        <v>76</v>
      </c>
      <c r="C80" s="7" t="s">
        <v>92</v>
      </c>
      <c r="D80" s="7" t="s">
        <v>95</v>
      </c>
      <c r="E80" s="7" t="s">
        <v>211</v>
      </c>
      <c r="F80" s="7" t="s">
        <v>212</v>
      </c>
      <c r="G80" s="7" t="s">
        <v>213</v>
      </c>
      <c r="H80" s="7" t="s">
        <v>115</v>
      </c>
      <c r="I80" s="7" t="s">
        <v>211</v>
      </c>
      <c r="J80" s="7" t="s">
        <v>211</v>
      </c>
      <c r="K80" s="7" t="s">
        <v>116</v>
      </c>
      <c r="L80" s="7" t="s">
        <v>211</v>
      </c>
      <c r="M80" s="7" t="s">
        <v>211</v>
      </c>
      <c r="N80" s="27" t="b">
        <v>1</v>
      </c>
      <c r="O80" s="27" t="b">
        <v>1</v>
      </c>
      <c r="P80" s="27" t="b">
        <v>1</v>
      </c>
      <c r="Q80" s="27" t="b">
        <v>0</v>
      </c>
      <c r="R80" s="27" t="b">
        <v>0</v>
      </c>
      <c r="S80" s="7">
        <v>1131</v>
      </c>
      <c r="T80" s="22">
        <v>3.1250000000000001E-4</v>
      </c>
    </row>
    <row r="81" spans="1:20" ht="22" customHeight="1">
      <c r="A81" s="7">
        <v>76</v>
      </c>
      <c r="B81" s="7">
        <v>77</v>
      </c>
      <c r="C81" s="7" t="s">
        <v>92</v>
      </c>
      <c r="D81" s="7" t="s">
        <v>95</v>
      </c>
      <c r="E81" s="7" t="s">
        <v>214</v>
      </c>
      <c r="F81" s="7" t="s">
        <v>215</v>
      </c>
      <c r="G81" s="7" t="s">
        <v>216</v>
      </c>
      <c r="H81" s="7" t="s">
        <v>115</v>
      </c>
      <c r="I81" s="7" t="s">
        <v>214</v>
      </c>
      <c r="J81" s="7" t="s">
        <v>214</v>
      </c>
      <c r="K81" s="7" t="s">
        <v>116</v>
      </c>
      <c r="L81" s="7" t="s">
        <v>214</v>
      </c>
      <c r="M81" s="7" t="s">
        <v>214</v>
      </c>
      <c r="N81" s="27" t="b">
        <v>1</v>
      </c>
      <c r="O81" s="27" t="b">
        <v>1</v>
      </c>
      <c r="P81" s="27" t="b">
        <v>1</v>
      </c>
      <c r="Q81" s="27" t="b">
        <v>0</v>
      </c>
      <c r="R81" s="27" t="b">
        <v>0</v>
      </c>
      <c r="S81" s="7">
        <v>1335</v>
      </c>
      <c r="T81" s="22">
        <v>1.7659999999999998E-4</v>
      </c>
    </row>
    <row r="82" spans="1:20" ht="22" customHeight="1">
      <c r="A82" s="7">
        <v>77</v>
      </c>
      <c r="B82" s="7">
        <v>78</v>
      </c>
      <c r="C82" s="7" t="s">
        <v>92</v>
      </c>
      <c r="D82" s="7" t="s">
        <v>95</v>
      </c>
      <c r="E82" s="7" t="s">
        <v>217</v>
      </c>
      <c r="F82" s="7" t="s">
        <v>218</v>
      </c>
      <c r="G82" s="7" t="s">
        <v>219</v>
      </c>
      <c r="H82" s="7" t="s">
        <v>115</v>
      </c>
      <c r="I82" s="7" t="s">
        <v>217</v>
      </c>
      <c r="J82" s="7" t="s">
        <v>217</v>
      </c>
      <c r="K82" s="7" t="s">
        <v>116</v>
      </c>
      <c r="L82" s="7" t="s">
        <v>217</v>
      </c>
      <c r="M82" s="7" t="s">
        <v>217</v>
      </c>
      <c r="N82" s="27" t="b">
        <v>1</v>
      </c>
      <c r="O82" s="27" t="b">
        <v>1</v>
      </c>
      <c r="P82" s="27" t="b">
        <v>1</v>
      </c>
      <c r="Q82" s="27" t="b">
        <v>0</v>
      </c>
      <c r="R82" s="27" t="b">
        <v>0</v>
      </c>
      <c r="S82" s="7">
        <v>2023</v>
      </c>
      <c r="T82" s="22">
        <v>2.1920000000000002E-4</v>
      </c>
    </row>
    <row r="83" spans="1:20" ht="22" customHeight="1">
      <c r="A83" s="7">
        <v>78</v>
      </c>
      <c r="B83" s="7">
        <v>79</v>
      </c>
      <c r="C83" s="7" t="s">
        <v>92</v>
      </c>
      <c r="D83" s="7" t="s">
        <v>93</v>
      </c>
      <c r="E83" s="7" t="s">
        <v>94</v>
      </c>
      <c r="F83" s="7" t="s">
        <v>220</v>
      </c>
      <c r="G83" s="7"/>
      <c r="H83" s="7" t="s">
        <v>115</v>
      </c>
      <c r="I83" s="7"/>
      <c r="J83" s="7"/>
      <c r="K83" s="7" t="s">
        <v>116</v>
      </c>
      <c r="L83" s="7"/>
      <c r="M83" s="7"/>
      <c r="N83" s="27" t="b">
        <v>1</v>
      </c>
      <c r="O83" s="27" t="b">
        <v>0</v>
      </c>
      <c r="P83" s="27" t="b">
        <v>0</v>
      </c>
      <c r="Q83" s="27" t="b">
        <v>0</v>
      </c>
      <c r="R83" s="27" t="b">
        <v>0</v>
      </c>
      <c r="S83" s="7">
        <v>1377</v>
      </c>
      <c r="T83" s="22">
        <v>2.0960000000000003E-4</v>
      </c>
    </row>
    <row r="84" spans="1:20" ht="22" customHeight="1">
      <c r="A84" s="7">
        <v>79</v>
      </c>
      <c r="B84" s="7">
        <v>80</v>
      </c>
      <c r="C84" s="7" t="s">
        <v>92</v>
      </c>
      <c r="D84" s="7" t="s">
        <v>95</v>
      </c>
      <c r="E84" s="7" t="s">
        <v>221</v>
      </c>
      <c r="F84" s="7" t="s">
        <v>221</v>
      </c>
      <c r="G84" s="7" t="s">
        <v>221</v>
      </c>
      <c r="H84" s="7" t="s">
        <v>118</v>
      </c>
      <c r="I84" s="7" t="s">
        <v>221</v>
      </c>
      <c r="J84" s="7" t="s">
        <v>221</v>
      </c>
      <c r="K84" s="7" t="s">
        <v>116</v>
      </c>
      <c r="L84" s="7" t="s">
        <v>221</v>
      </c>
      <c r="M84" s="7" t="s">
        <v>221</v>
      </c>
      <c r="N84" s="27" t="b">
        <v>1</v>
      </c>
      <c r="O84" s="27" t="b">
        <v>1</v>
      </c>
      <c r="P84" s="27" t="b">
        <v>1</v>
      </c>
      <c r="Q84" s="27" t="b">
        <v>0</v>
      </c>
      <c r="R84" s="27" t="b">
        <v>0</v>
      </c>
      <c r="S84" s="7">
        <v>1690</v>
      </c>
      <c r="T84" s="22">
        <v>1.4540000000000001E-4</v>
      </c>
    </row>
    <row r="85" spans="1:20" ht="22" customHeight="1">
      <c r="A85" s="7">
        <v>80</v>
      </c>
      <c r="B85" s="7">
        <v>81</v>
      </c>
      <c r="C85" s="7" t="s">
        <v>113</v>
      </c>
      <c r="D85" s="7" t="s">
        <v>95</v>
      </c>
      <c r="E85" s="7" t="s">
        <v>222</v>
      </c>
      <c r="F85" s="7" t="s">
        <v>223</v>
      </c>
      <c r="G85" s="7" t="s">
        <v>223</v>
      </c>
      <c r="H85" s="7" t="s">
        <v>115</v>
      </c>
      <c r="I85" s="7" t="s">
        <v>222</v>
      </c>
      <c r="J85" s="7" t="s">
        <v>222</v>
      </c>
      <c r="K85" s="7" t="s">
        <v>116</v>
      </c>
      <c r="L85" s="7" t="s">
        <v>222</v>
      </c>
      <c r="M85" s="7" t="s">
        <v>222</v>
      </c>
      <c r="N85" s="27" t="b">
        <v>1</v>
      </c>
      <c r="O85" s="27" t="b">
        <v>1</v>
      </c>
      <c r="P85" s="27" t="b">
        <v>1</v>
      </c>
      <c r="Q85" s="27" t="b">
        <v>0</v>
      </c>
      <c r="R85" s="27" t="b">
        <v>0</v>
      </c>
      <c r="S85" s="7">
        <v>1317</v>
      </c>
      <c r="T85" s="22">
        <v>1.9000000000000001E-4</v>
      </c>
    </row>
    <row r="86" spans="1:20" ht="22" customHeight="1">
      <c r="A86" s="7">
        <v>81</v>
      </c>
      <c r="B86" s="7">
        <v>82</v>
      </c>
      <c r="C86" s="7" t="s">
        <v>113</v>
      </c>
      <c r="D86" s="7" t="s">
        <v>95</v>
      </c>
      <c r="E86" s="7" t="s">
        <v>224</v>
      </c>
      <c r="F86" s="7" t="s">
        <v>225</v>
      </c>
      <c r="G86" s="7" t="s">
        <v>225</v>
      </c>
      <c r="H86" s="7" t="s">
        <v>115</v>
      </c>
      <c r="I86" s="7" t="s">
        <v>224</v>
      </c>
      <c r="J86" s="7" t="s">
        <v>224</v>
      </c>
      <c r="K86" s="7" t="s">
        <v>116</v>
      </c>
      <c r="L86" s="7" t="s">
        <v>224</v>
      </c>
      <c r="M86" s="7" t="s">
        <v>224</v>
      </c>
      <c r="N86" s="27" t="b">
        <v>1</v>
      </c>
      <c r="O86" s="27" t="b">
        <v>1</v>
      </c>
      <c r="P86" s="27" t="b">
        <v>1</v>
      </c>
      <c r="Q86" s="27" t="b">
        <v>0</v>
      </c>
      <c r="R86" s="27" t="b">
        <v>0</v>
      </c>
      <c r="S86" s="7">
        <v>1708</v>
      </c>
      <c r="T86" s="22">
        <v>1.784E-4</v>
      </c>
    </row>
    <row r="87" spans="1:20" ht="22" customHeight="1">
      <c r="A87" s="7">
        <v>82</v>
      </c>
      <c r="B87" s="7">
        <v>83</v>
      </c>
      <c r="C87" s="7" t="s">
        <v>92</v>
      </c>
      <c r="D87" s="7" t="s">
        <v>95</v>
      </c>
      <c r="E87" s="7" t="s">
        <v>226</v>
      </c>
      <c r="F87" s="7" t="s">
        <v>227</v>
      </c>
      <c r="G87" s="7" t="s">
        <v>228</v>
      </c>
      <c r="H87" s="7" t="s">
        <v>115</v>
      </c>
      <c r="I87" s="7" t="s">
        <v>226</v>
      </c>
      <c r="J87" s="7" t="s">
        <v>226</v>
      </c>
      <c r="K87" s="7" t="s">
        <v>116</v>
      </c>
      <c r="L87" s="7" t="s">
        <v>226</v>
      </c>
      <c r="M87" s="7" t="s">
        <v>226</v>
      </c>
      <c r="N87" s="27" t="b">
        <v>1</v>
      </c>
      <c r="O87" s="27" t="b">
        <v>1</v>
      </c>
      <c r="P87" s="27" t="b">
        <v>1</v>
      </c>
      <c r="Q87" s="27" t="b">
        <v>0</v>
      </c>
      <c r="R87" s="27" t="b">
        <v>0</v>
      </c>
      <c r="S87" s="7">
        <v>1228</v>
      </c>
      <c r="T87" s="22">
        <v>6.4400000000000004E-4</v>
      </c>
    </row>
    <row r="88" spans="1:20" ht="22" customHeight="1">
      <c r="A88" s="7">
        <v>83</v>
      </c>
      <c r="B88" s="7">
        <v>84</v>
      </c>
      <c r="C88" s="7" t="s">
        <v>92</v>
      </c>
      <c r="D88" s="7" t="s">
        <v>95</v>
      </c>
      <c r="E88" s="7" t="s">
        <v>229</v>
      </c>
      <c r="F88" s="7" t="s">
        <v>230</v>
      </c>
      <c r="G88" s="7" t="s">
        <v>230</v>
      </c>
      <c r="H88" s="7" t="s">
        <v>115</v>
      </c>
      <c r="I88" s="7" t="s">
        <v>229</v>
      </c>
      <c r="J88" s="7" t="s">
        <v>229</v>
      </c>
      <c r="K88" s="7" t="s">
        <v>116</v>
      </c>
      <c r="L88" s="7" t="s">
        <v>229</v>
      </c>
      <c r="M88" s="7" t="s">
        <v>229</v>
      </c>
      <c r="N88" s="27" t="b">
        <v>1</v>
      </c>
      <c r="O88" s="27" t="b">
        <v>1</v>
      </c>
      <c r="P88" s="27" t="b">
        <v>1</v>
      </c>
      <c r="Q88" s="27" t="b">
        <v>0</v>
      </c>
      <c r="R88" s="27" t="b">
        <v>0</v>
      </c>
      <c r="S88" s="7">
        <v>1423</v>
      </c>
      <c r="T88" s="22">
        <v>2.1260000000000002E-4</v>
      </c>
    </row>
    <row r="89" spans="1:20" ht="22" customHeight="1">
      <c r="A89" s="7">
        <v>84</v>
      </c>
      <c r="B89" s="7">
        <v>85</v>
      </c>
      <c r="C89" s="7" t="s">
        <v>92</v>
      </c>
      <c r="D89" s="7" t="s">
        <v>95</v>
      </c>
      <c r="E89" s="7" t="s">
        <v>231</v>
      </c>
      <c r="F89" s="7" t="s">
        <v>232</v>
      </c>
      <c r="G89" s="7" t="s">
        <v>232</v>
      </c>
      <c r="H89" s="7" t="s">
        <v>115</v>
      </c>
      <c r="I89" s="7" t="s">
        <v>231</v>
      </c>
      <c r="J89" s="7" t="s">
        <v>231</v>
      </c>
      <c r="K89" s="7" t="s">
        <v>116</v>
      </c>
      <c r="L89" s="7" t="s">
        <v>231</v>
      </c>
      <c r="M89" s="7" t="s">
        <v>231</v>
      </c>
      <c r="N89" s="27" t="b">
        <v>1</v>
      </c>
      <c r="O89" s="27" t="b">
        <v>1</v>
      </c>
      <c r="P89" s="27" t="b">
        <v>1</v>
      </c>
      <c r="Q89" s="27" t="b">
        <v>0</v>
      </c>
      <c r="R89" s="27" t="b">
        <v>0</v>
      </c>
      <c r="S89" s="7">
        <v>1220</v>
      </c>
      <c r="T89" s="22">
        <v>2.3260000000000002E-4</v>
      </c>
    </row>
    <row r="90" spans="1:20" ht="22" customHeight="1">
      <c r="A90" s="7">
        <v>85</v>
      </c>
      <c r="B90" s="7">
        <v>86</v>
      </c>
      <c r="C90" s="7" t="s">
        <v>92</v>
      </c>
      <c r="D90" s="7" t="s">
        <v>95</v>
      </c>
      <c r="E90" s="7" t="s">
        <v>233</v>
      </c>
      <c r="F90" s="7" t="s">
        <v>234</v>
      </c>
      <c r="G90" s="7" t="s">
        <v>235</v>
      </c>
      <c r="H90" s="7" t="s">
        <v>115</v>
      </c>
      <c r="I90" s="7" t="s">
        <v>233</v>
      </c>
      <c r="J90" s="7" t="s">
        <v>233</v>
      </c>
      <c r="K90" s="7" t="s">
        <v>116</v>
      </c>
      <c r="L90" s="7" t="s">
        <v>233</v>
      </c>
      <c r="M90" s="7" t="s">
        <v>233</v>
      </c>
      <c r="N90" s="27" t="b">
        <v>1</v>
      </c>
      <c r="O90" s="27" t="b">
        <v>1</v>
      </c>
      <c r="P90" s="27" t="b">
        <v>1</v>
      </c>
      <c r="Q90" s="27" t="b">
        <v>0</v>
      </c>
      <c r="R90" s="27" t="b">
        <v>0</v>
      </c>
      <c r="S90" s="7">
        <v>2983</v>
      </c>
      <c r="T90" s="22">
        <v>2.0260000000000002E-4</v>
      </c>
    </row>
    <row r="91" spans="1:20" ht="22" customHeight="1">
      <c r="A91" s="7">
        <v>86</v>
      </c>
      <c r="B91" s="7">
        <v>87</v>
      </c>
      <c r="C91" s="7" t="s">
        <v>92</v>
      </c>
      <c r="D91" s="7" t="s">
        <v>93</v>
      </c>
      <c r="E91" s="7" t="s">
        <v>236</v>
      </c>
      <c r="F91" s="7"/>
      <c r="G91" s="7"/>
      <c r="H91" s="7" t="s">
        <v>118</v>
      </c>
      <c r="I91" s="7"/>
      <c r="J91" s="7"/>
      <c r="K91" s="7" t="s">
        <v>237</v>
      </c>
      <c r="L91" s="7"/>
      <c r="M91" s="7"/>
      <c r="N91" s="27" t="b">
        <v>1</v>
      </c>
      <c r="O91" s="27" t="b">
        <v>0</v>
      </c>
      <c r="P91" s="27" t="b">
        <v>0</v>
      </c>
      <c r="Q91" s="27" t="b">
        <v>1</v>
      </c>
      <c r="R91" s="27" t="b">
        <v>0</v>
      </c>
      <c r="S91" s="7"/>
      <c r="T91" s="22"/>
    </row>
    <row r="92" spans="1:20" ht="22" customHeight="1">
      <c r="A92" s="7">
        <v>87</v>
      </c>
      <c r="B92" s="7">
        <v>88</v>
      </c>
      <c r="C92" s="7" t="s">
        <v>92</v>
      </c>
      <c r="D92" s="7" t="s">
        <v>95</v>
      </c>
      <c r="E92" s="7" t="s">
        <v>238</v>
      </c>
      <c r="F92" s="7" t="s">
        <v>238</v>
      </c>
      <c r="G92" s="7" t="s">
        <v>238</v>
      </c>
      <c r="H92" s="7" t="s">
        <v>118</v>
      </c>
      <c r="I92" s="7" t="s">
        <v>238</v>
      </c>
      <c r="J92" s="7" t="s">
        <v>238</v>
      </c>
      <c r="K92" s="7" t="s">
        <v>116</v>
      </c>
      <c r="L92" s="7" t="s">
        <v>238</v>
      </c>
      <c r="M92" s="7" t="s">
        <v>238</v>
      </c>
      <c r="N92" s="27" t="b">
        <v>1</v>
      </c>
      <c r="O92" s="27" t="b">
        <v>1</v>
      </c>
      <c r="P92" s="27" t="b">
        <v>1</v>
      </c>
      <c r="Q92" s="27" t="b">
        <v>0</v>
      </c>
      <c r="R92" s="27" t="b">
        <v>0</v>
      </c>
      <c r="S92" s="7">
        <v>1979</v>
      </c>
      <c r="T92" s="22">
        <v>1.3680000000000002E-4</v>
      </c>
    </row>
    <row r="93" spans="1:20" ht="22" customHeight="1">
      <c r="A93" s="7">
        <v>88</v>
      </c>
      <c r="B93" s="7">
        <v>91</v>
      </c>
      <c r="C93" s="7" t="s">
        <v>92</v>
      </c>
      <c r="D93" s="7" t="s">
        <v>239</v>
      </c>
      <c r="E93" s="7" t="s">
        <v>240</v>
      </c>
      <c r="F93" s="7" t="s">
        <v>241</v>
      </c>
      <c r="G93" s="7" t="s">
        <v>241</v>
      </c>
      <c r="H93" s="7" t="s">
        <v>115</v>
      </c>
      <c r="I93" s="7"/>
      <c r="J93" s="7"/>
      <c r="K93" s="7" t="s">
        <v>116</v>
      </c>
      <c r="L93" s="7"/>
      <c r="M93" s="7"/>
      <c r="N93" s="27" t="b">
        <v>1</v>
      </c>
      <c r="O93" s="27" t="b">
        <v>0</v>
      </c>
      <c r="P93" s="27" t="b">
        <v>0</v>
      </c>
      <c r="Q93" s="27" t="b">
        <v>0</v>
      </c>
      <c r="R93" s="27" t="b">
        <v>0</v>
      </c>
      <c r="S93" s="7">
        <v>1218</v>
      </c>
      <c r="T93" s="22">
        <v>2.3780000000000001E-4</v>
      </c>
    </row>
    <row r="94" spans="1:20" ht="22" customHeight="1">
      <c r="A94" s="7">
        <v>89</v>
      </c>
      <c r="B94" s="7">
        <v>92</v>
      </c>
      <c r="C94" s="7" t="s">
        <v>92</v>
      </c>
      <c r="D94" s="7" t="s">
        <v>239</v>
      </c>
      <c r="E94" s="7" t="s">
        <v>240</v>
      </c>
      <c r="F94" s="7" t="s">
        <v>242</v>
      </c>
      <c r="G94" s="7" t="s">
        <v>242</v>
      </c>
      <c r="H94" s="7" t="s">
        <v>115</v>
      </c>
      <c r="I94" s="7"/>
      <c r="J94" s="7"/>
      <c r="K94" s="7" t="s">
        <v>116</v>
      </c>
      <c r="L94" s="7"/>
      <c r="M94" s="7"/>
      <c r="N94" s="27" t="b">
        <v>1</v>
      </c>
      <c r="O94" s="27" t="b">
        <v>0</v>
      </c>
      <c r="P94" s="27" t="b">
        <v>0</v>
      </c>
      <c r="Q94" s="27" t="b">
        <v>0</v>
      </c>
      <c r="R94" s="27" t="b">
        <v>0</v>
      </c>
      <c r="S94" s="7">
        <v>1444</v>
      </c>
      <c r="T94" s="22">
        <v>1.8439999999999998E-4</v>
      </c>
    </row>
    <row r="95" spans="1:20" ht="22" customHeight="1">
      <c r="A95" s="7">
        <v>90</v>
      </c>
      <c r="B95" s="7">
        <v>93</v>
      </c>
      <c r="C95" s="7" t="s">
        <v>92</v>
      </c>
      <c r="D95" s="7" t="s">
        <v>239</v>
      </c>
      <c r="E95" s="7" t="s">
        <v>240</v>
      </c>
      <c r="F95" s="7" t="s">
        <v>242</v>
      </c>
      <c r="G95" s="7"/>
      <c r="H95" s="7" t="s">
        <v>115</v>
      </c>
      <c r="I95" s="7"/>
      <c r="J95" s="7"/>
      <c r="K95" s="7" t="s">
        <v>116</v>
      </c>
      <c r="L95" s="7"/>
      <c r="M95" s="7"/>
      <c r="N95" s="27" t="b">
        <v>1</v>
      </c>
      <c r="O95" s="27" t="b">
        <v>0</v>
      </c>
      <c r="P95" s="27" t="b">
        <v>0</v>
      </c>
      <c r="Q95" s="27" t="b">
        <v>0</v>
      </c>
      <c r="R95" s="27" t="b">
        <v>0</v>
      </c>
      <c r="S95" s="7">
        <v>1158</v>
      </c>
      <c r="T95" s="22">
        <v>2.1660000000000003E-4</v>
      </c>
    </row>
    <row r="96" spans="1:20" ht="22" customHeight="1">
      <c r="A96" s="7">
        <v>91</v>
      </c>
      <c r="B96" s="7">
        <v>94</v>
      </c>
      <c r="C96" s="7" t="s">
        <v>92</v>
      </c>
      <c r="D96" s="7" t="s">
        <v>239</v>
      </c>
      <c r="E96" s="7" t="s">
        <v>240</v>
      </c>
      <c r="F96" s="7" t="s">
        <v>243</v>
      </c>
      <c r="G96" s="7"/>
      <c r="H96" s="7" t="s">
        <v>115</v>
      </c>
      <c r="I96" s="7"/>
      <c r="J96" s="7"/>
      <c r="K96" s="7" t="s">
        <v>116</v>
      </c>
      <c r="L96" s="7"/>
      <c r="M96" s="7"/>
      <c r="N96" s="27" t="b">
        <v>1</v>
      </c>
      <c r="O96" s="27" t="b">
        <v>0</v>
      </c>
      <c r="P96" s="27" t="b">
        <v>0</v>
      </c>
      <c r="Q96" s="27" t="b">
        <v>0</v>
      </c>
      <c r="R96" s="27" t="b">
        <v>0</v>
      </c>
      <c r="S96" s="7">
        <v>1528</v>
      </c>
      <c r="T96" s="22">
        <v>2.084E-4</v>
      </c>
    </row>
    <row r="97" spans="1:20" ht="22" customHeight="1">
      <c r="A97" s="7">
        <v>92</v>
      </c>
      <c r="B97" s="7">
        <v>95</v>
      </c>
      <c r="C97" s="7" t="s">
        <v>92</v>
      </c>
      <c r="D97" s="7" t="s">
        <v>239</v>
      </c>
      <c r="E97" s="7" t="s">
        <v>240</v>
      </c>
      <c r="F97" s="7" t="s">
        <v>244</v>
      </c>
      <c r="G97" s="7"/>
      <c r="H97" s="7" t="s">
        <v>115</v>
      </c>
      <c r="I97" s="7"/>
      <c r="J97" s="7"/>
      <c r="K97" s="7" t="s">
        <v>116</v>
      </c>
      <c r="L97" s="7"/>
      <c r="M97" s="7"/>
      <c r="N97" s="27" t="b">
        <v>1</v>
      </c>
      <c r="O97" s="27" t="b">
        <v>0</v>
      </c>
      <c r="P97" s="27" t="b">
        <v>0</v>
      </c>
      <c r="Q97" s="27" t="b">
        <v>0</v>
      </c>
      <c r="R97" s="27" t="b">
        <v>0</v>
      </c>
      <c r="S97" s="7">
        <v>1158</v>
      </c>
      <c r="T97" s="22">
        <v>2.4240000000000001E-4</v>
      </c>
    </row>
    <row r="98" spans="1:20" ht="22" customHeight="1">
      <c r="A98" s="7">
        <v>93</v>
      </c>
      <c r="B98" s="7">
        <v>98</v>
      </c>
      <c r="C98" s="7" t="s">
        <v>92</v>
      </c>
      <c r="D98" s="7" t="s">
        <v>95</v>
      </c>
      <c r="E98" s="7" t="s">
        <v>245</v>
      </c>
      <c r="F98" s="7" t="s">
        <v>246</v>
      </c>
      <c r="G98" s="7" t="s">
        <v>246</v>
      </c>
      <c r="H98" s="7" t="s">
        <v>115</v>
      </c>
      <c r="I98" s="7" t="s">
        <v>245</v>
      </c>
      <c r="J98" s="7" t="s">
        <v>245</v>
      </c>
      <c r="K98" s="7" t="s">
        <v>116</v>
      </c>
      <c r="L98" s="7" t="s">
        <v>245</v>
      </c>
      <c r="M98" s="7" t="s">
        <v>245</v>
      </c>
      <c r="N98" s="27" t="b">
        <v>1</v>
      </c>
      <c r="O98" s="27" t="b">
        <v>1</v>
      </c>
      <c r="P98" s="27" t="b">
        <v>1</v>
      </c>
      <c r="Q98" s="27" t="b">
        <v>0</v>
      </c>
      <c r="R98" s="27" t="b">
        <v>0</v>
      </c>
      <c r="S98" s="7">
        <v>1224</v>
      </c>
      <c r="T98" s="22">
        <v>2.0160000000000002E-4</v>
      </c>
    </row>
    <row r="99" spans="1:20" ht="22" customHeight="1">
      <c r="A99" s="7">
        <v>94</v>
      </c>
      <c r="B99" s="7">
        <v>99</v>
      </c>
      <c r="C99" s="7" t="s">
        <v>92</v>
      </c>
      <c r="D99" s="7" t="s">
        <v>93</v>
      </c>
      <c r="E99" s="7" t="s">
        <v>247</v>
      </c>
      <c r="F99" s="7" t="s">
        <v>248</v>
      </c>
      <c r="G99" s="7"/>
      <c r="H99" s="7" t="s">
        <v>115</v>
      </c>
      <c r="I99" s="7"/>
      <c r="J99" s="7"/>
      <c r="K99" s="7" t="s">
        <v>116</v>
      </c>
      <c r="L99" s="7"/>
      <c r="M99" s="7"/>
      <c r="N99" s="27" t="b">
        <v>1</v>
      </c>
      <c r="O99" s="27" t="b">
        <v>0</v>
      </c>
      <c r="P99" s="27" t="b">
        <v>0</v>
      </c>
      <c r="Q99" s="27" t="b">
        <v>1</v>
      </c>
      <c r="R99" s="27" t="b">
        <v>0</v>
      </c>
      <c r="S99" s="7">
        <v>1177</v>
      </c>
      <c r="T99" s="22">
        <v>1.7820000000000002E-4</v>
      </c>
    </row>
    <row r="100" spans="1:20" ht="22" customHeight="1">
      <c r="A100" s="7">
        <v>95</v>
      </c>
      <c r="B100" s="7">
        <v>100</v>
      </c>
      <c r="C100" s="7" t="s">
        <v>92</v>
      </c>
      <c r="D100" s="7" t="s">
        <v>93</v>
      </c>
      <c r="E100" s="7" t="s">
        <v>249</v>
      </c>
      <c r="F100" s="7" t="s">
        <v>248</v>
      </c>
      <c r="G100" s="7"/>
      <c r="H100" s="7" t="s">
        <v>115</v>
      </c>
      <c r="I100" s="7"/>
      <c r="J100" s="7"/>
      <c r="K100" s="7" t="s">
        <v>116</v>
      </c>
      <c r="L100" s="7"/>
      <c r="M100" s="7"/>
      <c r="N100" s="27" t="b">
        <v>1</v>
      </c>
      <c r="O100" s="27" t="b">
        <v>0</v>
      </c>
      <c r="P100" s="27" t="b">
        <v>0</v>
      </c>
      <c r="Q100" s="27" t="b">
        <v>1</v>
      </c>
      <c r="R100" s="27" t="b">
        <v>0</v>
      </c>
      <c r="S100" s="7">
        <v>1247</v>
      </c>
      <c r="T100" s="22">
        <v>2.1220000000000001E-4</v>
      </c>
    </row>
    <row r="101" spans="1:20" ht="22" customHeight="1">
      <c r="A101" s="7">
        <v>96</v>
      </c>
      <c r="B101" s="7">
        <v>101</v>
      </c>
      <c r="C101" s="7" t="s">
        <v>92</v>
      </c>
      <c r="D101" s="7" t="s">
        <v>95</v>
      </c>
      <c r="E101" s="7" t="s">
        <v>96</v>
      </c>
      <c r="F101" s="7" t="s">
        <v>96</v>
      </c>
      <c r="G101" s="7" t="s">
        <v>97</v>
      </c>
      <c r="H101" s="7" t="s">
        <v>118</v>
      </c>
      <c r="I101" s="7" t="s">
        <v>96</v>
      </c>
      <c r="J101" s="7" t="s">
        <v>97</v>
      </c>
      <c r="K101" s="7" t="s">
        <v>116</v>
      </c>
      <c r="L101" s="7" t="s">
        <v>96</v>
      </c>
      <c r="M101" s="7" t="s">
        <v>96</v>
      </c>
      <c r="N101" s="27" t="b">
        <v>1</v>
      </c>
      <c r="O101" s="27" t="b">
        <v>1</v>
      </c>
      <c r="P101" s="27" t="b">
        <v>1</v>
      </c>
      <c r="Q101" s="27" t="b">
        <v>0</v>
      </c>
      <c r="R101" s="27" t="b">
        <v>0</v>
      </c>
      <c r="S101" s="7">
        <v>1300</v>
      </c>
      <c r="T101" s="22">
        <v>1.7620000000000003E-4</v>
      </c>
    </row>
    <row r="102" spans="1:20" ht="22" customHeight="1">
      <c r="A102" s="7">
        <v>97</v>
      </c>
      <c r="B102" s="7">
        <v>102</v>
      </c>
      <c r="C102" s="7" t="s">
        <v>92</v>
      </c>
      <c r="D102" s="7" t="s">
        <v>93</v>
      </c>
      <c r="E102" s="7" t="s">
        <v>250</v>
      </c>
      <c r="F102" s="7" t="s">
        <v>251</v>
      </c>
      <c r="G102" s="7"/>
      <c r="H102" s="7" t="s">
        <v>115</v>
      </c>
      <c r="I102" s="7"/>
      <c r="J102" s="7"/>
      <c r="K102" s="7" t="s">
        <v>116</v>
      </c>
      <c r="L102" s="7"/>
      <c r="M102" s="7"/>
      <c r="N102" s="27" t="b">
        <v>1</v>
      </c>
      <c r="O102" s="27" t="b">
        <v>0</v>
      </c>
      <c r="P102" s="27" t="b">
        <v>0</v>
      </c>
      <c r="Q102" s="27" t="b">
        <v>1</v>
      </c>
      <c r="R102" s="27" t="b">
        <v>0</v>
      </c>
      <c r="S102" s="7">
        <v>1022</v>
      </c>
      <c r="T102" s="22">
        <v>1.996E-4</v>
      </c>
    </row>
    <row r="103" spans="1:20" ht="22" customHeight="1">
      <c r="A103" s="7">
        <v>98</v>
      </c>
      <c r="B103" s="7">
        <v>103</v>
      </c>
      <c r="C103" s="7" t="s">
        <v>92</v>
      </c>
      <c r="D103" s="7" t="s">
        <v>239</v>
      </c>
      <c r="E103" s="7" t="s">
        <v>240</v>
      </c>
      <c r="F103" s="7" t="s">
        <v>252</v>
      </c>
      <c r="G103" s="7" t="s">
        <v>253</v>
      </c>
      <c r="H103" s="7" t="s">
        <v>115</v>
      </c>
      <c r="I103" s="7"/>
      <c r="J103" s="7"/>
      <c r="K103" s="7" t="s">
        <v>116</v>
      </c>
      <c r="L103" s="7"/>
      <c r="M103" s="7"/>
      <c r="N103" s="27" t="b">
        <v>1</v>
      </c>
      <c r="O103" s="27" t="b">
        <v>0</v>
      </c>
      <c r="P103" s="27" t="b">
        <v>0</v>
      </c>
      <c r="Q103" s="27" t="b">
        <v>0</v>
      </c>
      <c r="R103" s="27" t="b">
        <v>0</v>
      </c>
      <c r="S103" s="7">
        <v>995</v>
      </c>
      <c r="T103" s="22">
        <v>2.1100000000000001E-4</v>
      </c>
    </row>
    <row r="104" spans="1:20" ht="22" customHeight="1">
      <c r="A104" s="7">
        <v>99</v>
      </c>
      <c r="B104" s="7">
        <v>104</v>
      </c>
      <c r="C104" s="7" t="s">
        <v>92</v>
      </c>
      <c r="D104" s="7" t="s">
        <v>95</v>
      </c>
      <c r="E104" s="7" t="s">
        <v>254</v>
      </c>
      <c r="F104" s="7" t="s">
        <v>254</v>
      </c>
      <c r="G104" s="7" t="s">
        <v>254</v>
      </c>
      <c r="H104" s="7" t="s">
        <v>118</v>
      </c>
      <c r="I104" s="7" t="s">
        <v>254</v>
      </c>
      <c r="J104" s="7" t="s">
        <v>254</v>
      </c>
      <c r="K104" s="7" t="s">
        <v>116</v>
      </c>
      <c r="L104" s="7" t="s">
        <v>254</v>
      </c>
      <c r="M104" s="7" t="s">
        <v>254</v>
      </c>
      <c r="N104" s="27" t="b">
        <v>1</v>
      </c>
      <c r="O104" s="27" t="b">
        <v>1</v>
      </c>
      <c r="P104" s="27" t="b">
        <v>1</v>
      </c>
      <c r="Q104" s="27" t="b">
        <v>0</v>
      </c>
      <c r="R104" s="27" t="b">
        <v>0</v>
      </c>
      <c r="S104" s="7">
        <v>1322</v>
      </c>
      <c r="T104" s="22">
        <v>1.616E-4</v>
      </c>
    </row>
    <row r="105" spans="1:20" ht="22" customHeight="1">
      <c r="A105" s="7">
        <v>100</v>
      </c>
      <c r="B105" s="7">
        <v>105</v>
      </c>
      <c r="C105" s="7" t="s">
        <v>92</v>
      </c>
      <c r="D105" s="7" t="s">
        <v>95</v>
      </c>
      <c r="E105" s="7" t="s">
        <v>255</v>
      </c>
      <c r="F105" s="7" t="s">
        <v>256</v>
      </c>
      <c r="G105" s="7" t="s">
        <v>256</v>
      </c>
      <c r="H105" s="7" t="s">
        <v>115</v>
      </c>
      <c r="I105" s="7" t="s">
        <v>255</v>
      </c>
      <c r="J105" s="7" t="s">
        <v>255</v>
      </c>
      <c r="K105" s="7" t="s">
        <v>116</v>
      </c>
      <c r="L105" s="7" t="s">
        <v>255</v>
      </c>
      <c r="M105" s="7" t="s">
        <v>255</v>
      </c>
      <c r="N105" s="27" t="b">
        <v>1</v>
      </c>
      <c r="O105" s="27" t="b">
        <v>1</v>
      </c>
      <c r="P105" s="27" t="b">
        <v>1</v>
      </c>
      <c r="Q105" s="27" t="b">
        <v>0</v>
      </c>
      <c r="R105" s="27" t="b">
        <v>0</v>
      </c>
      <c r="S105" s="7">
        <v>1166</v>
      </c>
      <c r="T105" s="22">
        <v>1.7340000000000001E-4</v>
      </c>
    </row>
    <row r="106" spans="1:20" ht="22" customHeight="1">
      <c r="A106" s="7">
        <v>101</v>
      </c>
      <c r="B106" s="7">
        <v>106</v>
      </c>
      <c r="C106" s="7" t="s">
        <v>92</v>
      </c>
      <c r="D106" s="7" t="s">
        <v>239</v>
      </c>
      <c r="E106" s="7" t="s">
        <v>240</v>
      </c>
      <c r="F106" s="7" t="s">
        <v>257</v>
      </c>
      <c r="G106" s="7"/>
      <c r="H106" s="7" t="s">
        <v>115</v>
      </c>
      <c r="I106" s="7"/>
      <c r="J106" s="7"/>
      <c r="K106" s="7" t="s">
        <v>116</v>
      </c>
      <c r="L106" s="7"/>
      <c r="M106" s="7"/>
      <c r="N106" s="27" t="b">
        <v>1</v>
      </c>
      <c r="O106" s="27" t="b">
        <v>0</v>
      </c>
      <c r="P106" s="27" t="b">
        <v>0</v>
      </c>
      <c r="Q106" s="27" t="b">
        <v>0</v>
      </c>
      <c r="R106" s="27" t="b">
        <v>0</v>
      </c>
      <c r="S106" s="7">
        <v>1561</v>
      </c>
      <c r="T106" s="22">
        <v>1.8279999999999997E-4</v>
      </c>
    </row>
    <row r="107" spans="1:20" ht="22" customHeight="1">
      <c r="A107" s="7">
        <v>102</v>
      </c>
      <c r="B107" s="7">
        <v>109</v>
      </c>
      <c r="C107" s="7" t="s">
        <v>92</v>
      </c>
      <c r="D107" s="7" t="s">
        <v>95</v>
      </c>
      <c r="E107" s="7" t="s">
        <v>258</v>
      </c>
      <c r="F107" s="7" t="s">
        <v>259</v>
      </c>
      <c r="G107" s="7" t="s">
        <v>259</v>
      </c>
      <c r="H107" s="7" t="s">
        <v>115</v>
      </c>
      <c r="I107" s="7" t="s">
        <v>258</v>
      </c>
      <c r="J107" s="7" t="s">
        <v>258</v>
      </c>
      <c r="K107" s="7" t="s">
        <v>116</v>
      </c>
      <c r="L107" s="7" t="s">
        <v>258</v>
      </c>
      <c r="M107" s="7" t="s">
        <v>258</v>
      </c>
      <c r="N107" s="27" t="b">
        <v>1</v>
      </c>
      <c r="O107" s="27" t="b">
        <v>1</v>
      </c>
      <c r="P107" s="27" t="b">
        <v>1</v>
      </c>
      <c r="Q107" s="27" t="b">
        <v>0</v>
      </c>
      <c r="R107" s="27" t="b">
        <v>0</v>
      </c>
      <c r="S107" s="7">
        <v>1081</v>
      </c>
      <c r="T107" s="22">
        <v>1.85E-4</v>
      </c>
    </row>
    <row r="108" spans="1:20" ht="22" customHeight="1">
      <c r="A108" s="7">
        <v>103</v>
      </c>
      <c r="B108" s="7">
        <v>110</v>
      </c>
      <c r="C108" s="7" t="s">
        <v>92</v>
      </c>
      <c r="D108" s="7" t="s">
        <v>93</v>
      </c>
      <c r="E108" s="7" t="s">
        <v>260</v>
      </c>
      <c r="F108" s="7"/>
      <c r="G108" s="7"/>
      <c r="H108" s="7" t="s">
        <v>118</v>
      </c>
      <c r="I108" s="7"/>
      <c r="J108" s="7"/>
      <c r="K108" s="7" t="s">
        <v>237</v>
      </c>
      <c r="L108" s="7"/>
      <c r="M108" s="7"/>
      <c r="N108" s="27" t="b">
        <v>1</v>
      </c>
      <c r="O108" s="27" t="b">
        <v>0</v>
      </c>
      <c r="P108" s="27" t="b">
        <v>0</v>
      </c>
      <c r="Q108" s="27" t="b">
        <v>1</v>
      </c>
      <c r="R108" s="27" t="b">
        <v>0</v>
      </c>
      <c r="S108" s="7"/>
      <c r="T108" s="22"/>
    </row>
    <row r="109" spans="1:20" ht="22" customHeight="1">
      <c r="A109" s="7">
        <v>104</v>
      </c>
      <c r="B109" s="7">
        <v>111</v>
      </c>
      <c r="C109" s="7" t="s">
        <v>92</v>
      </c>
      <c r="D109" s="7" t="s">
        <v>95</v>
      </c>
      <c r="E109" s="7" t="s">
        <v>261</v>
      </c>
      <c r="F109" s="7" t="s">
        <v>262</v>
      </c>
      <c r="G109" s="7" t="s">
        <v>262</v>
      </c>
      <c r="H109" s="7" t="s">
        <v>115</v>
      </c>
      <c r="I109" s="7" t="s">
        <v>261</v>
      </c>
      <c r="J109" s="7" t="s">
        <v>261</v>
      </c>
      <c r="K109" s="7" t="s">
        <v>116</v>
      </c>
      <c r="L109" s="7" t="s">
        <v>261</v>
      </c>
      <c r="M109" s="7" t="s">
        <v>261</v>
      </c>
      <c r="N109" s="27" t="b">
        <v>1</v>
      </c>
      <c r="O109" s="27" t="b">
        <v>1</v>
      </c>
      <c r="P109" s="27" t="b">
        <v>1</v>
      </c>
      <c r="Q109" s="27" t="b">
        <v>0</v>
      </c>
      <c r="R109" s="27" t="b">
        <v>0</v>
      </c>
      <c r="S109" s="7">
        <v>1311</v>
      </c>
      <c r="T109" s="22">
        <v>2.0440000000000001E-4</v>
      </c>
    </row>
    <row r="110" spans="1:20" ht="22" customHeight="1">
      <c r="A110" s="7">
        <v>105</v>
      </c>
      <c r="B110" s="7">
        <v>112</v>
      </c>
      <c r="C110" s="7" t="s">
        <v>92</v>
      </c>
      <c r="D110" s="7" t="s">
        <v>93</v>
      </c>
      <c r="E110" s="7" t="s">
        <v>98</v>
      </c>
      <c r="F110" s="7" t="s">
        <v>263</v>
      </c>
      <c r="G110" s="7"/>
      <c r="H110" s="7" t="s">
        <v>115</v>
      </c>
      <c r="I110" s="7"/>
      <c r="J110" s="7"/>
      <c r="K110" s="7" t="s">
        <v>116</v>
      </c>
      <c r="L110" s="7"/>
      <c r="M110" s="7"/>
      <c r="N110" s="27" t="b">
        <v>1</v>
      </c>
      <c r="O110" s="27" t="b">
        <v>0</v>
      </c>
      <c r="P110" s="27" t="b">
        <v>0</v>
      </c>
      <c r="Q110" s="27" t="b">
        <v>0</v>
      </c>
      <c r="R110" s="27" t="b">
        <v>0</v>
      </c>
      <c r="S110" s="7">
        <v>1542</v>
      </c>
      <c r="T110" s="22">
        <v>7.5259999999999997E-4</v>
      </c>
    </row>
    <row r="111" spans="1:20" ht="22" customHeight="1">
      <c r="A111" s="7">
        <v>106</v>
      </c>
      <c r="B111" s="7">
        <v>113</v>
      </c>
      <c r="C111" s="7" t="s">
        <v>92</v>
      </c>
      <c r="D111" s="7" t="s">
        <v>95</v>
      </c>
      <c r="E111" s="7" t="s">
        <v>264</v>
      </c>
      <c r="F111" s="7" t="s">
        <v>264</v>
      </c>
      <c r="G111" s="7" t="s">
        <v>264</v>
      </c>
      <c r="H111" s="7" t="s">
        <v>118</v>
      </c>
      <c r="I111" s="7" t="s">
        <v>264</v>
      </c>
      <c r="J111" s="7" t="s">
        <v>264</v>
      </c>
      <c r="K111" s="7" t="s">
        <v>116</v>
      </c>
      <c r="L111" s="7" t="s">
        <v>264</v>
      </c>
      <c r="M111" s="7" t="s">
        <v>264</v>
      </c>
      <c r="N111" s="27" t="b">
        <v>1</v>
      </c>
      <c r="O111" s="27" t="b">
        <v>1</v>
      </c>
      <c r="P111" s="27" t="b">
        <v>1</v>
      </c>
      <c r="Q111" s="27" t="b">
        <v>0</v>
      </c>
      <c r="R111" s="27" t="b">
        <v>0</v>
      </c>
      <c r="S111" s="7">
        <v>1618</v>
      </c>
      <c r="T111" s="22">
        <v>1.3440000000000001E-4</v>
      </c>
    </row>
    <row r="112" spans="1:20" ht="22" customHeight="1">
      <c r="A112" s="7">
        <v>107</v>
      </c>
      <c r="B112" s="7">
        <v>114</v>
      </c>
      <c r="C112" s="7" t="s">
        <v>92</v>
      </c>
      <c r="D112" s="7" t="s">
        <v>95</v>
      </c>
      <c r="E112" s="7" t="s">
        <v>265</v>
      </c>
      <c r="F112" s="7" t="s">
        <v>265</v>
      </c>
      <c r="G112" s="7" t="s">
        <v>265</v>
      </c>
      <c r="H112" s="7" t="s">
        <v>118</v>
      </c>
      <c r="I112" s="7" t="s">
        <v>265</v>
      </c>
      <c r="J112" s="7" t="s">
        <v>265</v>
      </c>
      <c r="K112" s="7" t="s">
        <v>116</v>
      </c>
      <c r="L112" s="7" t="s">
        <v>265</v>
      </c>
      <c r="M112" s="7" t="s">
        <v>265</v>
      </c>
      <c r="N112" s="27" t="b">
        <v>1</v>
      </c>
      <c r="O112" s="27" t="b">
        <v>1</v>
      </c>
      <c r="P112" s="27" t="b">
        <v>1</v>
      </c>
      <c r="Q112" s="27" t="b">
        <v>0</v>
      </c>
      <c r="R112" s="27" t="b">
        <v>0</v>
      </c>
      <c r="S112" s="7">
        <v>1189</v>
      </c>
      <c r="T112" s="22">
        <v>1.3540000000000001E-4</v>
      </c>
    </row>
    <row r="113" spans="1:20" ht="22" customHeight="1">
      <c r="A113" s="7">
        <v>108</v>
      </c>
      <c r="B113" s="7">
        <v>115</v>
      </c>
      <c r="C113" s="7" t="s">
        <v>92</v>
      </c>
      <c r="D113" s="7" t="s">
        <v>95</v>
      </c>
      <c r="E113" s="7" t="s">
        <v>266</v>
      </c>
      <c r="F113" s="7" t="s">
        <v>266</v>
      </c>
      <c r="G113" s="7" t="s">
        <v>266</v>
      </c>
      <c r="H113" s="7" t="s">
        <v>118</v>
      </c>
      <c r="I113" s="7" t="s">
        <v>266</v>
      </c>
      <c r="J113" s="7" t="s">
        <v>266</v>
      </c>
      <c r="K113" s="7" t="s">
        <v>116</v>
      </c>
      <c r="L113" s="7" t="s">
        <v>266</v>
      </c>
      <c r="M113" s="7" t="s">
        <v>266</v>
      </c>
      <c r="N113" s="27" t="b">
        <v>1</v>
      </c>
      <c r="O113" s="27" t="b">
        <v>1</v>
      </c>
      <c r="P113" s="27" t="b">
        <v>1</v>
      </c>
      <c r="Q113" s="27" t="b">
        <v>0</v>
      </c>
      <c r="R113" s="27" t="b">
        <v>0</v>
      </c>
      <c r="S113" s="7">
        <v>1199</v>
      </c>
      <c r="T113" s="22">
        <v>1.496E-4</v>
      </c>
    </row>
    <row r="114" spans="1:20" ht="22" customHeight="1">
      <c r="A114" s="7">
        <v>109</v>
      </c>
      <c r="B114" s="7">
        <v>116</v>
      </c>
      <c r="C114" s="7" t="s">
        <v>92</v>
      </c>
      <c r="D114" s="7" t="s">
        <v>95</v>
      </c>
      <c r="E114" s="7" t="s">
        <v>267</v>
      </c>
      <c r="F114" s="7" t="s">
        <v>268</v>
      </c>
      <c r="G114" s="7" t="s">
        <v>268</v>
      </c>
      <c r="H114" s="7" t="s">
        <v>115</v>
      </c>
      <c r="I114" s="7" t="s">
        <v>267</v>
      </c>
      <c r="J114" s="7" t="s">
        <v>267</v>
      </c>
      <c r="K114" s="7" t="s">
        <v>116</v>
      </c>
      <c r="L114" s="7" t="s">
        <v>267</v>
      </c>
      <c r="M114" s="7" t="s">
        <v>267</v>
      </c>
      <c r="N114" s="27" t="b">
        <v>1</v>
      </c>
      <c r="O114" s="27" t="b">
        <v>1</v>
      </c>
      <c r="P114" s="27" t="b">
        <v>1</v>
      </c>
      <c r="Q114" s="27" t="b">
        <v>0</v>
      </c>
      <c r="R114" s="27" t="b">
        <v>0</v>
      </c>
      <c r="S114" s="7">
        <v>2331</v>
      </c>
      <c r="T114" s="22">
        <v>1.718E-4</v>
      </c>
    </row>
    <row r="115" spans="1:20" ht="22" customHeight="1">
      <c r="A115" s="7">
        <v>110</v>
      </c>
      <c r="B115" s="7">
        <v>118</v>
      </c>
      <c r="C115" s="7" t="s">
        <v>92</v>
      </c>
      <c r="D115" s="7" t="s">
        <v>93</v>
      </c>
      <c r="E115" s="7" t="s">
        <v>269</v>
      </c>
      <c r="F115" s="7"/>
      <c r="G115" s="7"/>
      <c r="H115" s="7" t="s">
        <v>118</v>
      </c>
      <c r="I115" s="7"/>
      <c r="J115" s="7"/>
      <c r="K115" s="7" t="s">
        <v>237</v>
      </c>
      <c r="L115" s="7"/>
      <c r="M115" s="7"/>
      <c r="N115" s="27" t="b">
        <v>1</v>
      </c>
      <c r="O115" s="27" t="b">
        <v>0</v>
      </c>
      <c r="P115" s="27" t="b">
        <v>0</v>
      </c>
      <c r="Q115" s="27" t="b">
        <v>1</v>
      </c>
      <c r="R115" s="27" t="b">
        <v>0</v>
      </c>
      <c r="S115" s="7"/>
      <c r="T115" s="22"/>
    </row>
    <row r="116" spans="1:20" ht="22" customHeight="1">
      <c r="A116" s="7">
        <v>111</v>
      </c>
      <c r="B116" s="7">
        <v>119</v>
      </c>
      <c r="C116" s="7" t="s">
        <v>92</v>
      </c>
      <c r="D116" s="7" t="s">
        <v>95</v>
      </c>
      <c r="E116" s="7" t="s">
        <v>270</v>
      </c>
      <c r="F116" s="7" t="s">
        <v>270</v>
      </c>
      <c r="G116" s="7" t="s">
        <v>270</v>
      </c>
      <c r="H116" s="7" t="s">
        <v>118</v>
      </c>
      <c r="I116" s="7" t="s">
        <v>270</v>
      </c>
      <c r="J116" s="7" t="s">
        <v>270</v>
      </c>
      <c r="K116" s="7" t="s">
        <v>116</v>
      </c>
      <c r="L116" s="7" t="s">
        <v>270</v>
      </c>
      <c r="M116" s="7" t="s">
        <v>270</v>
      </c>
      <c r="N116" s="27" t="b">
        <v>1</v>
      </c>
      <c r="O116" s="27" t="b">
        <v>1</v>
      </c>
      <c r="P116" s="27" t="b">
        <v>1</v>
      </c>
      <c r="Q116" s="27" t="b">
        <v>0</v>
      </c>
      <c r="R116" s="27" t="b">
        <v>0</v>
      </c>
      <c r="S116" s="7">
        <v>1216</v>
      </c>
      <c r="T116" s="22">
        <v>1.6420000000000001E-4</v>
      </c>
    </row>
    <row r="117" spans="1:20" ht="22" customHeight="1">
      <c r="A117" s="7">
        <v>112</v>
      </c>
      <c r="B117" s="7">
        <v>120</v>
      </c>
      <c r="C117" s="7" t="s">
        <v>92</v>
      </c>
      <c r="D117" s="7" t="s">
        <v>95</v>
      </c>
      <c r="E117" s="7" t="s">
        <v>271</v>
      </c>
      <c r="F117" s="7" t="s">
        <v>271</v>
      </c>
      <c r="G117" s="7" t="s">
        <v>271</v>
      </c>
      <c r="H117" s="7" t="s">
        <v>118</v>
      </c>
      <c r="I117" s="7" t="s">
        <v>271</v>
      </c>
      <c r="J117" s="7" t="s">
        <v>271</v>
      </c>
      <c r="K117" s="7" t="s">
        <v>116</v>
      </c>
      <c r="L117" s="7" t="s">
        <v>271</v>
      </c>
      <c r="M117" s="7" t="s">
        <v>271</v>
      </c>
      <c r="N117" s="27" t="b">
        <v>1</v>
      </c>
      <c r="O117" s="27" t="b">
        <v>1</v>
      </c>
      <c r="P117" s="27" t="b">
        <v>1</v>
      </c>
      <c r="Q117" s="27" t="b">
        <v>0</v>
      </c>
      <c r="R117" s="27" t="b">
        <v>0</v>
      </c>
      <c r="S117" s="7">
        <v>1739</v>
      </c>
      <c r="T117" s="22">
        <v>1.3220000000000001E-4</v>
      </c>
    </row>
    <row r="118" spans="1:20" ht="22" customHeight="1">
      <c r="A118" s="7">
        <v>113</v>
      </c>
      <c r="B118" s="7">
        <v>121</v>
      </c>
      <c r="C118" s="7" t="s">
        <v>92</v>
      </c>
      <c r="D118" s="7" t="s">
        <v>95</v>
      </c>
      <c r="E118" s="7" t="s">
        <v>272</v>
      </c>
      <c r="F118" s="7" t="s">
        <v>273</v>
      </c>
      <c r="G118" s="7" t="s">
        <v>273</v>
      </c>
      <c r="H118" s="7" t="s">
        <v>115</v>
      </c>
      <c r="I118" s="7" t="s">
        <v>272</v>
      </c>
      <c r="J118" s="7" t="s">
        <v>272</v>
      </c>
      <c r="K118" s="7" t="s">
        <v>116</v>
      </c>
      <c r="L118" s="7" t="s">
        <v>272</v>
      </c>
      <c r="M118" s="7" t="s">
        <v>272</v>
      </c>
      <c r="N118" s="27" t="b">
        <v>1</v>
      </c>
      <c r="O118" s="27" t="b">
        <v>1</v>
      </c>
      <c r="P118" s="27" t="b">
        <v>1</v>
      </c>
      <c r="Q118" s="27" t="b">
        <v>0</v>
      </c>
      <c r="R118" s="27" t="b">
        <v>0</v>
      </c>
      <c r="S118" s="7">
        <v>1255</v>
      </c>
      <c r="T118" s="22">
        <v>1.6699999999999999E-4</v>
      </c>
    </row>
    <row r="119" spans="1:20" ht="22" customHeight="1">
      <c r="A119" s="7">
        <v>114</v>
      </c>
      <c r="B119" s="7">
        <v>122</v>
      </c>
      <c r="C119" s="7" t="s">
        <v>113</v>
      </c>
      <c r="D119" s="7" t="s">
        <v>95</v>
      </c>
      <c r="E119" s="7" t="s">
        <v>274</v>
      </c>
      <c r="F119" s="7" t="s">
        <v>275</v>
      </c>
      <c r="G119" s="7" t="s">
        <v>276</v>
      </c>
      <c r="H119" s="7" t="s">
        <v>115</v>
      </c>
      <c r="I119" s="7" t="s">
        <v>274</v>
      </c>
      <c r="J119" s="7" t="s">
        <v>274</v>
      </c>
      <c r="K119" s="7" t="s">
        <v>116</v>
      </c>
      <c r="L119" s="7" t="s">
        <v>274</v>
      </c>
      <c r="M119" s="7" t="s">
        <v>274</v>
      </c>
      <c r="N119" s="27" t="b">
        <v>1</v>
      </c>
      <c r="O119" s="27" t="b">
        <v>1</v>
      </c>
      <c r="P119" s="27" t="b">
        <v>1</v>
      </c>
      <c r="Q119" s="27" t="b">
        <v>0</v>
      </c>
      <c r="R119" s="27" t="b">
        <v>0</v>
      </c>
      <c r="S119" s="7">
        <v>1146</v>
      </c>
      <c r="T119" s="22">
        <v>3.8699999999999997E-4</v>
      </c>
    </row>
    <row r="120" spans="1:20" ht="22" customHeight="1">
      <c r="A120" s="7">
        <v>115</v>
      </c>
      <c r="B120" s="7">
        <v>124</v>
      </c>
      <c r="C120" s="7" t="s">
        <v>92</v>
      </c>
      <c r="D120" s="7" t="s">
        <v>239</v>
      </c>
      <c r="E120" s="7" t="s">
        <v>240</v>
      </c>
      <c r="F120" s="7"/>
      <c r="G120" s="7"/>
      <c r="H120" s="7" t="s">
        <v>118</v>
      </c>
      <c r="I120" s="7"/>
      <c r="J120" s="7"/>
      <c r="K120" s="7" t="s">
        <v>237</v>
      </c>
      <c r="L120" s="7"/>
      <c r="M120" s="7"/>
      <c r="N120" s="27" t="b">
        <v>1</v>
      </c>
      <c r="O120" s="27" t="b">
        <v>0</v>
      </c>
      <c r="P120" s="27" t="b">
        <v>0</v>
      </c>
      <c r="Q120" s="27" t="b">
        <v>0</v>
      </c>
      <c r="R120" s="27" t="b">
        <v>0</v>
      </c>
      <c r="S120" s="7"/>
      <c r="T120" s="22"/>
    </row>
    <row r="121" spans="1:20" ht="22" customHeight="1">
      <c r="A121" s="7">
        <v>116</v>
      </c>
      <c r="B121" s="7">
        <v>125</v>
      </c>
      <c r="C121" s="7" t="s">
        <v>92</v>
      </c>
      <c r="D121" s="7" t="s">
        <v>93</v>
      </c>
      <c r="E121" s="7" t="s">
        <v>99</v>
      </c>
      <c r="F121" s="7" t="s">
        <v>277</v>
      </c>
      <c r="G121" s="7"/>
      <c r="H121" s="7" t="s">
        <v>115</v>
      </c>
      <c r="I121" s="7"/>
      <c r="J121" s="7"/>
      <c r="K121" s="7" t="s">
        <v>116</v>
      </c>
      <c r="L121" s="7"/>
      <c r="M121" s="7"/>
      <c r="N121" s="27" t="b">
        <v>1</v>
      </c>
      <c r="O121" s="27" t="b">
        <v>0</v>
      </c>
      <c r="P121" s="27" t="b">
        <v>0</v>
      </c>
      <c r="Q121" s="27" t="b">
        <v>0</v>
      </c>
      <c r="R121" s="27" t="b">
        <v>0</v>
      </c>
      <c r="S121" s="7">
        <v>1656</v>
      </c>
      <c r="T121" s="22">
        <v>1.494E-4</v>
      </c>
    </row>
    <row r="122" spans="1:20" ht="22" customHeight="1">
      <c r="A122" s="7">
        <v>117</v>
      </c>
      <c r="B122" s="7">
        <v>126</v>
      </c>
      <c r="C122" s="7" t="s">
        <v>92</v>
      </c>
      <c r="D122" s="7" t="s">
        <v>239</v>
      </c>
      <c r="E122" s="7" t="s">
        <v>240</v>
      </c>
      <c r="F122" s="7"/>
      <c r="G122" s="7"/>
      <c r="H122" s="7" t="s">
        <v>118</v>
      </c>
      <c r="I122" s="7"/>
      <c r="J122" s="7"/>
      <c r="K122" s="7" t="s">
        <v>237</v>
      </c>
      <c r="L122" s="7"/>
      <c r="M122" s="7"/>
      <c r="N122" s="27" t="b">
        <v>1</v>
      </c>
      <c r="O122" s="27" t="b">
        <v>0</v>
      </c>
      <c r="P122" s="27" t="b">
        <v>0</v>
      </c>
      <c r="Q122" s="27" t="b">
        <v>0</v>
      </c>
      <c r="R122" s="27" t="b">
        <v>0</v>
      </c>
      <c r="S122" s="7"/>
      <c r="T122" s="22"/>
    </row>
    <row r="123" spans="1:20" ht="22" customHeight="1">
      <c r="A123" s="7">
        <v>118</v>
      </c>
      <c r="B123" s="7">
        <v>127</v>
      </c>
      <c r="C123" s="7" t="s">
        <v>92</v>
      </c>
      <c r="D123" s="7" t="s">
        <v>95</v>
      </c>
      <c r="E123" s="7" t="s">
        <v>278</v>
      </c>
      <c r="F123" s="7" t="s">
        <v>279</v>
      </c>
      <c r="G123" s="7" t="s">
        <v>279</v>
      </c>
      <c r="H123" s="7" t="s">
        <v>115</v>
      </c>
      <c r="I123" s="7" t="s">
        <v>278</v>
      </c>
      <c r="J123" s="7" t="s">
        <v>278</v>
      </c>
      <c r="K123" s="7" t="s">
        <v>116</v>
      </c>
      <c r="L123" s="7" t="s">
        <v>278</v>
      </c>
      <c r="M123" s="7" t="s">
        <v>278</v>
      </c>
      <c r="N123" s="27" t="b">
        <v>1</v>
      </c>
      <c r="O123" s="27" t="b">
        <v>1</v>
      </c>
      <c r="P123" s="27" t="b">
        <v>1</v>
      </c>
      <c r="Q123" s="27" t="b">
        <v>0</v>
      </c>
      <c r="R123" s="27" t="b">
        <v>0</v>
      </c>
      <c r="S123" s="7">
        <v>1249</v>
      </c>
      <c r="T123" s="22">
        <v>2.4380000000000002E-4</v>
      </c>
    </row>
    <row r="124" spans="1:20" ht="22" customHeight="1">
      <c r="A124" s="7">
        <v>119</v>
      </c>
      <c r="B124" s="7">
        <v>128</v>
      </c>
      <c r="C124" s="7" t="s">
        <v>92</v>
      </c>
      <c r="D124" s="7" t="s">
        <v>239</v>
      </c>
      <c r="E124" s="7" t="s">
        <v>240</v>
      </c>
      <c r="F124" s="7" t="s">
        <v>280</v>
      </c>
      <c r="G124" s="7" t="s">
        <v>281</v>
      </c>
      <c r="H124" s="7" t="s">
        <v>115</v>
      </c>
      <c r="I124" s="7"/>
      <c r="J124" s="7"/>
      <c r="K124" s="7" t="s">
        <v>116</v>
      </c>
      <c r="L124" s="7"/>
      <c r="M124" s="7"/>
      <c r="N124" s="27" t="b">
        <v>1</v>
      </c>
      <c r="O124" s="27" t="b">
        <v>0</v>
      </c>
      <c r="P124" s="27" t="b">
        <v>0</v>
      </c>
      <c r="Q124" s="27" t="b">
        <v>0</v>
      </c>
      <c r="R124" s="27" t="b">
        <v>0</v>
      </c>
      <c r="S124" s="7">
        <v>1239</v>
      </c>
      <c r="T124" s="22">
        <v>6.512E-5</v>
      </c>
    </row>
    <row r="125" spans="1:20" ht="22" customHeight="1">
      <c r="A125" s="7">
        <v>120</v>
      </c>
      <c r="B125" s="7">
        <v>129</v>
      </c>
      <c r="C125" s="7" t="s">
        <v>92</v>
      </c>
      <c r="D125" s="7" t="s">
        <v>239</v>
      </c>
      <c r="E125" s="7" t="s">
        <v>240</v>
      </c>
      <c r="F125" s="7" t="s">
        <v>282</v>
      </c>
      <c r="G125" s="7"/>
      <c r="H125" s="7" t="s">
        <v>115</v>
      </c>
      <c r="I125" s="7"/>
      <c r="J125" s="7"/>
      <c r="K125" s="7" t="s">
        <v>116</v>
      </c>
      <c r="L125" s="7"/>
      <c r="M125" s="7"/>
      <c r="N125" s="27" t="b">
        <v>1</v>
      </c>
      <c r="O125" s="27" t="b">
        <v>0</v>
      </c>
      <c r="P125" s="27" t="b">
        <v>0</v>
      </c>
      <c r="Q125" s="27" t="b">
        <v>0</v>
      </c>
      <c r="R125" s="27" t="b">
        <v>0</v>
      </c>
      <c r="S125" s="7">
        <v>1302</v>
      </c>
      <c r="T125" s="22">
        <v>5.7220000000000003E-4</v>
      </c>
    </row>
    <row r="126" spans="1:20" ht="22" customHeight="1">
      <c r="A126" s="7">
        <v>121</v>
      </c>
      <c r="B126" s="7">
        <v>130</v>
      </c>
      <c r="C126" s="7" t="s">
        <v>113</v>
      </c>
      <c r="D126" s="7" t="s">
        <v>95</v>
      </c>
      <c r="E126" s="7" t="s">
        <v>283</v>
      </c>
      <c r="F126" s="7" t="s">
        <v>284</v>
      </c>
      <c r="G126" s="7" t="s">
        <v>284</v>
      </c>
      <c r="H126" s="7" t="s">
        <v>115</v>
      </c>
      <c r="I126" s="7" t="s">
        <v>283</v>
      </c>
      <c r="J126" s="7" t="s">
        <v>283</v>
      </c>
      <c r="K126" s="7" t="s">
        <v>116</v>
      </c>
      <c r="L126" s="7" t="s">
        <v>283</v>
      </c>
      <c r="M126" s="7" t="s">
        <v>283</v>
      </c>
      <c r="N126" s="27" t="b">
        <v>1</v>
      </c>
      <c r="O126" s="27" t="b">
        <v>1</v>
      </c>
      <c r="P126" s="27" t="b">
        <v>1</v>
      </c>
      <c r="Q126" s="27" t="b">
        <v>0</v>
      </c>
      <c r="R126" s="27" t="b">
        <v>0</v>
      </c>
      <c r="S126" s="7">
        <v>1846</v>
      </c>
      <c r="T126" s="22">
        <v>1.864E-4</v>
      </c>
    </row>
    <row r="127" spans="1:20" ht="22" customHeight="1">
      <c r="A127" s="7">
        <v>122</v>
      </c>
      <c r="B127" s="7">
        <v>131</v>
      </c>
      <c r="C127" s="7" t="s">
        <v>92</v>
      </c>
      <c r="D127" s="7" t="s">
        <v>239</v>
      </c>
      <c r="E127" s="7" t="s">
        <v>240</v>
      </c>
      <c r="F127" s="7" t="s">
        <v>285</v>
      </c>
      <c r="G127" s="7" t="s">
        <v>285</v>
      </c>
      <c r="H127" s="7" t="s">
        <v>115</v>
      </c>
      <c r="I127" s="7"/>
      <c r="J127" s="7"/>
      <c r="K127" s="7" t="s">
        <v>116</v>
      </c>
      <c r="L127" s="7"/>
      <c r="M127" s="7"/>
      <c r="N127" s="27" t="b">
        <v>1</v>
      </c>
      <c r="O127" s="27" t="b">
        <v>0</v>
      </c>
      <c r="P127" s="27" t="b">
        <v>0</v>
      </c>
      <c r="Q127" s="27" t="b">
        <v>0</v>
      </c>
      <c r="R127" s="27" t="b">
        <v>0</v>
      </c>
      <c r="S127" s="7">
        <v>2573</v>
      </c>
      <c r="T127" s="22">
        <v>2.0540000000000001E-4</v>
      </c>
    </row>
    <row r="128" spans="1:20" ht="22" customHeight="1">
      <c r="A128" s="7">
        <v>123</v>
      </c>
      <c r="B128" s="7">
        <v>132</v>
      </c>
      <c r="C128" s="7" t="s">
        <v>92</v>
      </c>
      <c r="D128" s="7" t="s">
        <v>95</v>
      </c>
      <c r="E128" s="7" t="s">
        <v>286</v>
      </c>
      <c r="F128" s="7" t="s">
        <v>287</v>
      </c>
      <c r="G128" s="7" t="s">
        <v>287</v>
      </c>
      <c r="H128" s="7" t="s">
        <v>115</v>
      </c>
      <c r="I128" s="7" t="s">
        <v>286</v>
      </c>
      <c r="J128" s="7" t="s">
        <v>286</v>
      </c>
      <c r="K128" s="7" t="s">
        <v>116</v>
      </c>
      <c r="L128" s="7" t="s">
        <v>286</v>
      </c>
      <c r="M128" s="7" t="s">
        <v>286</v>
      </c>
      <c r="N128" s="27" t="b">
        <v>1</v>
      </c>
      <c r="O128" s="27" t="b">
        <v>1</v>
      </c>
      <c r="P128" s="27" t="b">
        <v>1</v>
      </c>
      <c r="Q128" s="27" t="b">
        <v>0</v>
      </c>
      <c r="R128" s="27" t="b">
        <v>0</v>
      </c>
      <c r="S128" s="7">
        <v>1222</v>
      </c>
      <c r="T128" s="22">
        <v>1.95E-4</v>
      </c>
    </row>
    <row r="129" spans="1:20" ht="22" customHeight="1">
      <c r="A129" s="7">
        <v>124</v>
      </c>
      <c r="B129" s="7">
        <v>133</v>
      </c>
      <c r="C129" s="7" t="s">
        <v>92</v>
      </c>
      <c r="D129" s="7" t="s">
        <v>239</v>
      </c>
      <c r="E129" s="7" t="s">
        <v>240</v>
      </c>
      <c r="F129" s="7" t="s">
        <v>252</v>
      </c>
      <c r="G129" s="7"/>
      <c r="H129" s="7" t="s">
        <v>115</v>
      </c>
      <c r="I129" s="7"/>
      <c r="J129" s="7"/>
      <c r="K129" s="7" t="s">
        <v>116</v>
      </c>
      <c r="L129" s="7"/>
      <c r="M129" s="7"/>
      <c r="N129" s="27" t="b">
        <v>1</v>
      </c>
      <c r="O129" s="27" t="b">
        <v>0</v>
      </c>
      <c r="P129" s="27" t="b">
        <v>0</v>
      </c>
      <c r="Q129" s="27" t="b">
        <v>0</v>
      </c>
      <c r="R129" s="27" t="b">
        <v>0</v>
      </c>
      <c r="S129" s="7">
        <v>1088</v>
      </c>
      <c r="T129" s="22">
        <v>3.3545000000000005E-4</v>
      </c>
    </row>
    <row r="130" spans="1:20" ht="22" customHeight="1">
      <c r="A130" s="7">
        <v>125</v>
      </c>
      <c r="B130" s="7">
        <v>134</v>
      </c>
      <c r="C130" s="7" t="s">
        <v>92</v>
      </c>
      <c r="D130" s="7" t="s">
        <v>239</v>
      </c>
      <c r="E130" s="7" t="s">
        <v>240</v>
      </c>
      <c r="F130" s="7" t="s">
        <v>288</v>
      </c>
      <c r="G130" s="7"/>
      <c r="H130" s="7" t="s">
        <v>115</v>
      </c>
      <c r="I130" s="7"/>
      <c r="J130" s="7"/>
      <c r="K130" s="7" t="s">
        <v>116</v>
      </c>
      <c r="L130" s="7"/>
      <c r="M130" s="7"/>
      <c r="N130" s="27" t="b">
        <v>1</v>
      </c>
      <c r="O130" s="27" t="b">
        <v>0</v>
      </c>
      <c r="P130" s="27" t="b">
        <v>0</v>
      </c>
      <c r="Q130" s="27" t="b">
        <v>0</v>
      </c>
      <c r="R130" s="27" t="b">
        <v>0</v>
      </c>
      <c r="S130" s="7">
        <v>927</v>
      </c>
      <c r="T130" s="22">
        <v>4.2585000000000002E-4</v>
      </c>
    </row>
    <row r="131" spans="1:20" ht="22" customHeight="1">
      <c r="A131" s="7">
        <v>126</v>
      </c>
      <c r="B131" s="7">
        <v>135</v>
      </c>
      <c r="C131" s="7" t="s">
        <v>92</v>
      </c>
      <c r="D131" s="7" t="s">
        <v>239</v>
      </c>
      <c r="E131" s="7" t="s">
        <v>240</v>
      </c>
      <c r="F131" s="7" t="s">
        <v>277</v>
      </c>
      <c r="G131" s="7"/>
      <c r="H131" s="7" t="s">
        <v>115</v>
      </c>
      <c r="I131" s="7"/>
      <c r="J131" s="7"/>
      <c r="K131" s="7" t="s">
        <v>116</v>
      </c>
      <c r="L131" s="7"/>
      <c r="M131" s="7"/>
      <c r="N131" s="27" t="b">
        <v>1</v>
      </c>
      <c r="O131" s="27" t="b">
        <v>0</v>
      </c>
      <c r="P131" s="27" t="b">
        <v>0</v>
      </c>
      <c r="Q131" s="27" t="b">
        <v>0</v>
      </c>
      <c r="R131" s="27" t="b">
        <v>0</v>
      </c>
      <c r="S131" s="7">
        <v>1064</v>
      </c>
      <c r="T131" s="22">
        <v>1.7879999999999998E-4</v>
      </c>
    </row>
    <row r="132" spans="1:20" ht="22" customHeight="1">
      <c r="A132" s="7">
        <v>127</v>
      </c>
      <c r="B132" s="7">
        <v>136</v>
      </c>
      <c r="C132" s="7" t="s">
        <v>92</v>
      </c>
      <c r="D132" s="7" t="s">
        <v>95</v>
      </c>
      <c r="E132" s="7" t="s">
        <v>289</v>
      </c>
      <c r="F132" s="7" t="s">
        <v>290</v>
      </c>
      <c r="G132" s="7" t="s">
        <v>290</v>
      </c>
      <c r="H132" s="7" t="s">
        <v>115</v>
      </c>
      <c r="I132" s="7" t="s">
        <v>289</v>
      </c>
      <c r="J132" s="7" t="s">
        <v>289</v>
      </c>
      <c r="K132" s="7" t="s">
        <v>116</v>
      </c>
      <c r="L132" s="7" t="s">
        <v>289</v>
      </c>
      <c r="M132" s="7" t="s">
        <v>289</v>
      </c>
      <c r="N132" s="27" t="b">
        <v>1</v>
      </c>
      <c r="O132" s="27" t="b">
        <v>1</v>
      </c>
      <c r="P132" s="27" t="b">
        <v>1</v>
      </c>
      <c r="Q132" s="27" t="b">
        <v>0</v>
      </c>
      <c r="R132" s="27" t="b">
        <v>0</v>
      </c>
      <c r="S132" s="7">
        <v>1153</v>
      </c>
      <c r="T132" s="22">
        <v>1.8380000000000002E-4</v>
      </c>
    </row>
    <row r="133" spans="1:20" ht="22" customHeight="1">
      <c r="A133" s="7">
        <v>128</v>
      </c>
      <c r="B133" s="7">
        <v>137</v>
      </c>
      <c r="C133" s="7" t="s">
        <v>92</v>
      </c>
      <c r="D133" s="7" t="s">
        <v>95</v>
      </c>
      <c r="E133" s="7" t="s">
        <v>291</v>
      </c>
      <c r="F133" s="7" t="s">
        <v>292</v>
      </c>
      <c r="G133" s="7" t="s">
        <v>293</v>
      </c>
      <c r="H133" s="7" t="s">
        <v>115</v>
      </c>
      <c r="I133" s="7" t="s">
        <v>291</v>
      </c>
      <c r="J133" s="7" t="s">
        <v>291</v>
      </c>
      <c r="K133" s="7" t="s">
        <v>116</v>
      </c>
      <c r="L133" s="7" t="s">
        <v>291</v>
      </c>
      <c r="M133" s="7" t="s">
        <v>291</v>
      </c>
      <c r="N133" s="27" t="b">
        <v>1</v>
      </c>
      <c r="O133" s="27" t="b">
        <v>1</v>
      </c>
      <c r="P133" s="27" t="b">
        <v>1</v>
      </c>
      <c r="Q133" s="27" t="b">
        <v>0</v>
      </c>
      <c r="R133" s="27" t="b">
        <v>0</v>
      </c>
      <c r="S133" s="7">
        <v>1636</v>
      </c>
      <c r="T133" s="22">
        <v>2.1420000000000003E-4</v>
      </c>
    </row>
  </sheetData>
  <mergeCells count="2">
    <mergeCell ref="A1:T2"/>
    <mergeCell ref="A3:T3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4"/>
  <sheetViews>
    <sheetView showGridLines="0" topLeftCell="A181" workbookViewId="0">
      <selection sqref="A1:N2"/>
    </sheetView>
  </sheetViews>
  <sheetFormatPr defaultRowHeight="14"/>
  <cols>
    <col min="1" max="1" width="31" customWidth="1"/>
    <col min="2" max="4" width="15" customWidth="1"/>
    <col min="5" max="7" width="27" customWidth="1"/>
    <col min="8" max="14" width="15" customWidth="1"/>
  </cols>
  <sheetData>
    <row r="1" spans="1:14" ht="30" customHeight="1">
      <c r="A1" s="31" t="s">
        <v>294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14" ht="30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>
      <c r="A3" s="33" t="s">
        <v>295</v>
      </c>
      <c r="B3" s="33" t="s">
        <v>295</v>
      </c>
      <c r="C3" s="33" t="s">
        <v>295</v>
      </c>
      <c r="D3" s="33" t="s">
        <v>295</v>
      </c>
      <c r="E3" s="33" t="s">
        <v>295</v>
      </c>
      <c r="F3" s="33" t="s">
        <v>295</v>
      </c>
      <c r="G3" s="33" t="s">
        <v>295</v>
      </c>
      <c r="H3" s="33" t="s">
        <v>295</v>
      </c>
      <c r="I3" s="33" t="s">
        <v>295</v>
      </c>
      <c r="J3" s="33" t="s">
        <v>295</v>
      </c>
      <c r="K3" s="33" t="s">
        <v>295</v>
      </c>
      <c r="L3" s="33" t="s">
        <v>295</v>
      </c>
      <c r="M3" s="33" t="s">
        <v>295</v>
      </c>
      <c r="N3" s="33" t="s">
        <v>295</v>
      </c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6">
      <c r="A5" s="28" t="s">
        <v>32</v>
      </c>
      <c r="B5" s="29" t="s">
        <v>83</v>
      </c>
      <c r="C5" s="29" t="s">
        <v>84</v>
      </c>
      <c r="D5" s="29" t="s">
        <v>85</v>
      </c>
      <c r="E5" s="29" t="s">
        <v>296</v>
      </c>
      <c r="F5" s="29" t="s">
        <v>297</v>
      </c>
      <c r="G5" s="29" t="s">
        <v>298</v>
      </c>
      <c r="H5" s="29" t="s">
        <v>299</v>
      </c>
      <c r="I5" s="29" t="s">
        <v>300</v>
      </c>
      <c r="J5" s="29" t="s">
        <v>60</v>
      </c>
      <c r="K5" s="29" t="s">
        <v>61</v>
      </c>
      <c r="L5" s="29" t="s">
        <v>62</v>
      </c>
      <c r="M5" s="29" t="s">
        <v>64</v>
      </c>
      <c r="N5" s="30" t="s">
        <v>301</v>
      </c>
    </row>
    <row r="6" spans="1:14">
      <c r="A6" s="2" t="s">
        <v>45</v>
      </c>
      <c r="B6" s="2">
        <v>1</v>
      </c>
      <c r="C6" s="2">
        <v>1</v>
      </c>
      <c r="D6" s="2" t="s">
        <v>95</v>
      </c>
      <c r="E6" s="2" t="s">
        <v>115</v>
      </c>
      <c r="F6" s="2" t="s">
        <v>302</v>
      </c>
      <c r="G6" s="2" t="s">
        <v>303</v>
      </c>
      <c r="H6" s="2" t="s">
        <v>114</v>
      </c>
      <c r="I6" s="2">
        <v>2757</v>
      </c>
      <c r="J6" s="2">
        <v>508</v>
      </c>
      <c r="K6" s="2">
        <v>0</v>
      </c>
      <c r="L6" s="2">
        <v>0</v>
      </c>
      <c r="M6" s="2">
        <v>43</v>
      </c>
      <c r="N6" s="26">
        <v>1.5320000000000001E-4</v>
      </c>
    </row>
    <row r="7" spans="1:14">
      <c r="A7" s="7" t="s">
        <v>24</v>
      </c>
      <c r="B7" s="7">
        <v>1</v>
      </c>
      <c r="C7" s="7">
        <v>1</v>
      </c>
      <c r="D7" s="7" t="s">
        <v>95</v>
      </c>
      <c r="E7" s="7" t="s">
        <v>116</v>
      </c>
      <c r="F7" s="7" t="s">
        <v>302</v>
      </c>
      <c r="G7" s="7" t="s">
        <v>303</v>
      </c>
      <c r="H7" s="7" t="s">
        <v>114</v>
      </c>
      <c r="I7" s="7">
        <v>2781</v>
      </c>
      <c r="J7" s="7">
        <v>436</v>
      </c>
      <c r="K7" s="7">
        <v>0</v>
      </c>
      <c r="L7" s="7">
        <v>0</v>
      </c>
      <c r="M7" s="7">
        <v>42</v>
      </c>
      <c r="N7" s="22">
        <v>1.3759999999999998E-4</v>
      </c>
    </row>
    <row r="8" spans="1:14">
      <c r="A8" s="7" t="s">
        <v>24</v>
      </c>
      <c r="B8" s="7">
        <v>2</v>
      </c>
      <c r="C8" s="7">
        <v>2</v>
      </c>
      <c r="D8" s="7" t="s">
        <v>95</v>
      </c>
      <c r="E8" s="7" t="s">
        <v>116</v>
      </c>
      <c r="F8" s="7" t="s">
        <v>302</v>
      </c>
      <c r="G8" s="7" t="s">
        <v>303</v>
      </c>
      <c r="H8" s="7" t="s">
        <v>117</v>
      </c>
      <c r="I8" s="7">
        <v>1548</v>
      </c>
      <c r="J8" s="7">
        <v>384</v>
      </c>
      <c r="K8" s="7">
        <v>0</v>
      </c>
      <c r="L8" s="7">
        <v>0</v>
      </c>
      <c r="M8" s="7">
        <v>42</v>
      </c>
      <c r="N8" s="22">
        <v>1.2720000000000003E-4</v>
      </c>
    </row>
    <row r="9" spans="1:14">
      <c r="A9" s="7" t="s">
        <v>24</v>
      </c>
      <c r="B9" s="7">
        <v>3</v>
      </c>
      <c r="C9" s="7">
        <v>3</v>
      </c>
      <c r="D9" s="7" t="s">
        <v>95</v>
      </c>
      <c r="E9" s="7" t="s">
        <v>116</v>
      </c>
      <c r="F9" s="7" t="s">
        <v>302</v>
      </c>
      <c r="G9" s="7" t="s">
        <v>303</v>
      </c>
      <c r="H9" s="7" t="s">
        <v>119</v>
      </c>
      <c r="I9" s="7">
        <v>3537</v>
      </c>
      <c r="J9" s="7">
        <v>388</v>
      </c>
      <c r="K9" s="7">
        <v>0</v>
      </c>
      <c r="L9" s="7">
        <v>0</v>
      </c>
      <c r="M9" s="7">
        <v>42</v>
      </c>
      <c r="N9" s="22">
        <v>1.2799999999999999E-4</v>
      </c>
    </row>
    <row r="10" spans="1:14">
      <c r="A10" s="7" t="s">
        <v>45</v>
      </c>
      <c r="B10" s="7">
        <v>4</v>
      </c>
      <c r="C10" s="7">
        <v>4</v>
      </c>
      <c r="D10" s="7" t="s">
        <v>95</v>
      </c>
      <c r="E10" s="7" t="s">
        <v>115</v>
      </c>
      <c r="F10" s="7" t="s">
        <v>302</v>
      </c>
      <c r="G10" s="7" t="s">
        <v>303</v>
      </c>
      <c r="H10" s="7" t="s">
        <v>120</v>
      </c>
      <c r="I10" s="7">
        <v>1255</v>
      </c>
      <c r="J10" s="7">
        <v>556</v>
      </c>
      <c r="K10" s="7">
        <v>0</v>
      </c>
      <c r="L10" s="7">
        <v>0</v>
      </c>
      <c r="M10" s="7">
        <v>43</v>
      </c>
      <c r="N10" s="22">
        <v>1.628E-4</v>
      </c>
    </row>
    <row r="11" spans="1:14">
      <c r="A11" s="7" t="s">
        <v>24</v>
      </c>
      <c r="B11" s="7">
        <v>4</v>
      </c>
      <c r="C11" s="7">
        <v>4</v>
      </c>
      <c r="D11" s="7" t="s">
        <v>95</v>
      </c>
      <c r="E11" s="7" t="s">
        <v>116</v>
      </c>
      <c r="F11" s="7" t="s">
        <v>302</v>
      </c>
      <c r="G11" s="7" t="s">
        <v>303</v>
      </c>
      <c r="H11" s="7" t="s">
        <v>120</v>
      </c>
      <c r="I11" s="7">
        <v>1469</v>
      </c>
      <c r="J11" s="7">
        <v>429</v>
      </c>
      <c r="K11" s="7">
        <v>0</v>
      </c>
      <c r="L11" s="7">
        <v>0</v>
      </c>
      <c r="M11" s="7">
        <v>42</v>
      </c>
      <c r="N11" s="22">
        <v>1.362E-4</v>
      </c>
    </row>
    <row r="12" spans="1:14">
      <c r="A12" s="7" t="s">
        <v>24</v>
      </c>
      <c r="B12" s="7">
        <v>5</v>
      </c>
      <c r="C12" s="7">
        <v>5</v>
      </c>
      <c r="D12" s="7" t="s">
        <v>95</v>
      </c>
      <c r="E12" s="7" t="s">
        <v>116</v>
      </c>
      <c r="F12" s="7" t="s">
        <v>302</v>
      </c>
      <c r="G12" s="7" t="s">
        <v>303</v>
      </c>
      <c r="H12" s="7" t="s">
        <v>122</v>
      </c>
      <c r="I12" s="7">
        <v>1172</v>
      </c>
      <c r="J12" s="7">
        <v>382</v>
      </c>
      <c r="K12" s="7">
        <v>0</v>
      </c>
      <c r="L12" s="7">
        <v>0</v>
      </c>
      <c r="M12" s="7">
        <v>42</v>
      </c>
      <c r="N12" s="22">
        <v>1.2680000000000002E-4</v>
      </c>
    </row>
    <row r="13" spans="1:14">
      <c r="A13" s="7" t="s">
        <v>45</v>
      </c>
      <c r="B13" s="7">
        <v>6</v>
      </c>
      <c r="C13" s="7">
        <v>6</v>
      </c>
      <c r="D13" s="7" t="s">
        <v>95</v>
      </c>
      <c r="E13" s="7" t="s">
        <v>115</v>
      </c>
      <c r="F13" s="7" t="s">
        <v>302</v>
      </c>
      <c r="G13" s="7" t="s">
        <v>303</v>
      </c>
      <c r="H13" s="7" t="s">
        <v>123</v>
      </c>
      <c r="I13" s="7">
        <v>1557</v>
      </c>
      <c r="J13" s="7">
        <v>591</v>
      </c>
      <c r="K13" s="7">
        <v>0</v>
      </c>
      <c r="L13" s="7">
        <v>0</v>
      </c>
      <c r="M13" s="7">
        <v>43</v>
      </c>
      <c r="N13" s="22">
        <v>1.6980000000000001E-4</v>
      </c>
    </row>
    <row r="14" spans="1:14">
      <c r="A14" s="7" t="s">
        <v>24</v>
      </c>
      <c r="B14" s="7">
        <v>6</v>
      </c>
      <c r="C14" s="7">
        <v>6</v>
      </c>
      <c r="D14" s="7" t="s">
        <v>95</v>
      </c>
      <c r="E14" s="7" t="s">
        <v>116</v>
      </c>
      <c r="F14" s="7" t="s">
        <v>302</v>
      </c>
      <c r="G14" s="7" t="s">
        <v>303</v>
      </c>
      <c r="H14" s="7" t="s">
        <v>123</v>
      </c>
      <c r="I14" s="7">
        <v>2303</v>
      </c>
      <c r="J14" s="7">
        <v>473</v>
      </c>
      <c r="K14" s="7">
        <v>0</v>
      </c>
      <c r="L14" s="7">
        <v>0</v>
      </c>
      <c r="M14" s="7">
        <v>42</v>
      </c>
      <c r="N14" s="22">
        <v>1.45E-4</v>
      </c>
    </row>
    <row r="15" spans="1:14">
      <c r="A15" s="7" t="s">
        <v>24</v>
      </c>
      <c r="B15" s="7">
        <v>7</v>
      </c>
      <c r="C15" s="7">
        <v>7</v>
      </c>
      <c r="D15" s="7" t="s">
        <v>95</v>
      </c>
      <c r="E15" s="7" t="s">
        <v>116</v>
      </c>
      <c r="F15" s="7" t="s">
        <v>302</v>
      </c>
      <c r="G15" s="7" t="s">
        <v>303</v>
      </c>
      <c r="H15" s="7" t="s">
        <v>125</v>
      </c>
      <c r="I15" s="7">
        <v>1370</v>
      </c>
      <c r="J15" s="7">
        <v>422</v>
      </c>
      <c r="K15" s="7">
        <v>0</v>
      </c>
      <c r="L15" s="7">
        <v>0</v>
      </c>
      <c r="M15" s="7">
        <v>42</v>
      </c>
      <c r="N15" s="22">
        <v>1.3480000000000002E-4</v>
      </c>
    </row>
    <row r="16" spans="1:14">
      <c r="A16" s="7" t="s">
        <v>24</v>
      </c>
      <c r="B16" s="7">
        <v>8</v>
      </c>
      <c r="C16" s="7">
        <v>8</v>
      </c>
      <c r="D16" s="7" t="s">
        <v>95</v>
      </c>
      <c r="E16" s="7" t="s">
        <v>116</v>
      </c>
      <c r="F16" s="7" t="s">
        <v>302</v>
      </c>
      <c r="G16" s="7" t="s">
        <v>303</v>
      </c>
      <c r="H16" s="7" t="s">
        <v>126</v>
      </c>
      <c r="I16" s="7">
        <v>1244</v>
      </c>
      <c r="J16" s="7">
        <v>430</v>
      </c>
      <c r="K16" s="7">
        <v>0</v>
      </c>
      <c r="L16" s="7">
        <v>0</v>
      </c>
      <c r="M16" s="7">
        <v>42</v>
      </c>
      <c r="N16" s="22">
        <v>1.3640000000000001E-4</v>
      </c>
    </row>
    <row r="17" spans="1:14">
      <c r="A17" s="7" t="s">
        <v>24</v>
      </c>
      <c r="B17" s="7">
        <v>9</v>
      </c>
      <c r="C17" s="7">
        <v>9</v>
      </c>
      <c r="D17" s="7" t="s">
        <v>95</v>
      </c>
      <c r="E17" s="7" t="s">
        <v>116</v>
      </c>
      <c r="F17" s="7" t="s">
        <v>302</v>
      </c>
      <c r="G17" s="7" t="s">
        <v>303</v>
      </c>
      <c r="H17" s="7" t="s">
        <v>127</v>
      </c>
      <c r="I17" s="7">
        <v>1083</v>
      </c>
      <c r="J17" s="7">
        <v>397</v>
      </c>
      <c r="K17" s="7">
        <v>0</v>
      </c>
      <c r="L17" s="7">
        <v>0</v>
      </c>
      <c r="M17" s="7">
        <v>42</v>
      </c>
      <c r="N17" s="22">
        <v>1.2980000000000001E-4</v>
      </c>
    </row>
    <row r="18" spans="1:14">
      <c r="A18" s="7" t="s">
        <v>24</v>
      </c>
      <c r="B18" s="7">
        <v>10</v>
      </c>
      <c r="C18" s="7">
        <v>10</v>
      </c>
      <c r="D18" s="7" t="s">
        <v>95</v>
      </c>
      <c r="E18" s="7" t="s">
        <v>116</v>
      </c>
      <c r="F18" s="7" t="s">
        <v>302</v>
      </c>
      <c r="G18" s="7" t="s">
        <v>303</v>
      </c>
      <c r="H18" s="7" t="s">
        <v>128</v>
      </c>
      <c r="I18" s="7">
        <v>1109</v>
      </c>
      <c r="J18" s="7">
        <v>393</v>
      </c>
      <c r="K18" s="7">
        <v>0</v>
      </c>
      <c r="L18" s="7">
        <v>0</v>
      </c>
      <c r="M18" s="7">
        <v>42</v>
      </c>
      <c r="N18" s="22">
        <v>1.2899999999999999E-4</v>
      </c>
    </row>
    <row r="19" spans="1:14">
      <c r="A19" s="7" t="s">
        <v>45</v>
      </c>
      <c r="B19" s="7">
        <v>11</v>
      </c>
      <c r="C19" s="7">
        <v>11</v>
      </c>
      <c r="D19" s="7" t="s">
        <v>95</v>
      </c>
      <c r="E19" s="7" t="s">
        <v>115</v>
      </c>
      <c r="F19" s="7" t="s">
        <v>302</v>
      </c>
      <c r="G19" s="7" t="s">
        <v>303</v>
      </c>
      <c r="H19" s="7" t="s">
        <v>129</v>
      </c>
      <c r="I19" s="7">
        <v>1180</v>
      </c>
      <c r="J19" s="7">
        <v>460</v>
      </c>
      <c r="K19" s="7">
        <v>0</v>
      </c>
      <c r="L19" s="7">
        <v>0</v>
      </c>
      <c r="M19" s="7">
        <v>43</v>
      </c>
      <c r="N19" s="22">
        <v>1.4359999999999999E-4</v>
      </c>
    </row>
    <row r="20" spans="1:14">
      <c r="A20" s="7" t="s">
        <v>24</v>
      </c>
      <c r="B20" s="7">
        <v>11</v>
      </c>
      <c r="C20" s="7">
        <v>11</v>
      </c>
      <c r="D20" s="7" t="s">
        <v>95</v>
      </c>
      <c r="E20" s="7" t="s">
        <v>116</v>
      </c>
      <c r="F20" s="7" t="s">
        <v>302</v>
      </c>
      <c r="G20" s="7" t="s">
        <v>303</v>
      </c>
      <c r="H20" s="7" t="s">
        <v>129</v>
      </c>
      <c r="I20" s="7">
        <v>1650</v>
      </c>
      <c r="J20" s="7">
        <v>377</v>
      </c>
      <c r="K20" s="7">
        <v>0</v>
      </c>
      <c r="L20" s="7">
        <v>0</v>
      </c>
      <c r="M20" s="7">
        <v>42</v>
      </c>
      <c r="N20" s="22">
        <v>1.2580000000000002E-4</v>
      </c>
    </row>
    <row r="21" spans="1:14">
      <c r="A21" s="7" t="s">
        <v>24</v>
      </c>
      <c r="B21" s="7">
        <v>12</v>
      </c>
      <c r="C21" s="7">
        <v>12</v>
      </c>
      <c r="D21" s="7" t="s">
        <v>95</v>
      </c>
      <c r="E21" s="7" t="s">
        <v>116</v>
      </c>
      <c r="F21" s="7" t="s">
        <v>302</v>
      </c>
      <c r="G21" s="7" t="s">
        <v>303</v>
      </c>
      <c r="H21" s="7" t="s">
        <v>130</v>
      </c>
      <c r="I21" s="7">
        <v>1411</v>
      </c>
      <c r="J21" s="7">
        <v>378</v>
      </c>
      <c r="K21" s="7">
        <v>0</v>
      </c>
      <c r="L21" s="7">
        <v>0</v>
      </c>
      <c r="M21" s="7">
        <v>42</v>
      </c>
      <c r="N21" s="22">
        <v>1.26E-4</v>
      </c>
    </row>
    <row r="22" spans="1:14">
      <c r="A22" s="7" t="s">
        <v>24</v>
      </c>
      <c r="B22" s="7">
        <v>13</v>
      </c>
      <c r="C22" s="7">
        <v>13</v>
      </c>
      <c r="D22" s="7" t="s">
        <v>95</v>
      </c>
      <c r="E22" s="7" t="s">
        <v>116</v>
      </c>
      <c r="F22" s="7" t="s">
        <v>302</v>
      </c>
      <c r="G22" s="7" t="s">
        <v>303</v>
      </c>
      <c r="H22" s="7" t="s">
        <v>131</v>
      </c>
      <c r="I22" s="7">
        <v>1251</v>
      </c>
      <c r="J22" s="7">
        <v>382</v>
      </c>
      <c r="K22" s="7">
        <v>0</v>
      </c>
      <c r="L22" s="7">
        <v>0</v>
      </c>
      <c r="M22" s="7">
        <v>42</v>
      </c>
      <c r="N22" s="22">
        <v>1.2680000000000002E-4</v>
      </c>
    </row>
    <row r="23" spans="1:14">
      <c r="A23" s="7" t="s">
        <v>45</v>
      </c>
      <c r="B23" s="7">
        <v>14</v>
      </c>
      <c r="C23" s="7">
        <v>14</v>
      </c>
      <c r="D23" s="7" t="s">
        <v>95</v>
      </c>
      <c r="E23" s="7" t="s">
        <v>115</v>
      </c>
      <c r="F23" s="7" t="s">
        <v>302</v>
      </c>
      <c r="G23" s="7" t="s">
        <v>303</v>
      </c>
      <c r="H23" s="7" t="s">
        <v>132</v>
      </c>
      <c r="I23" s="7">
        <v>1183</v>
      </c>
      <c r="J23" s="7">
        <v>519</v>
      </c>
      <c r="K23" s="7">
        <v>0</v>
      </c>
      <c r="L23" s="7">
        <v>0</v>
      </c>
      <c r="M23" s="7">
        <v>43</v>
      </c>
      <c r="N23" s="22">
        <v>1.5540000000000001E-4</v>
      </c>
    </row>
    <row r="24" spans="1:14">
      <c r="A24" s="7" t="s">
        <v>24</v>
      </c>
      <c r="B24" s="7">
        <v>14</v>
      </c>
      <c r="C24" s="7">
        <v>14</v>
      </c>
      <c r="D24" s="7" t="s">
        <v>95</v>
      </c>
      <c r="E24" s="7" t="s">
        <v>116</v>
      </c>
      <c r="F24" s="7" t="s">
        <v>302</v>
      </c>
      <c r="G24" s="7" t="s">
        <v>303</v>
      </c>
      <c r="H24" s="7" t="s">
        <v>132</v>
      </c>
      <c r="I24" s="7">
        <v>1257</v>
      </c>
      <c r="J24" s="7">
        <v>444</v>
      </c>
      <c r="K24" s="7">
        <v>0</v>
      </c>
      <c r="L24" s="7">
        <v>0</v>
      </c>
      <c r="M24" s="7">
        <v>42</v>
      </c>
      <c r="N24" s="22">
        <v>1.3920000000000002E-4</v>
      </c>
    </row>
    <row r="25" spans="1:14">
      <c r="A25" s="7" t="s">
        <v>24</v>
      </c>
      <c r="B25" s="7">
        <v>15</v>
      </c>
      <c r="C25" s="7">
        <v>15</v>
      </c>
      <c r="D25" s="7" t="s">
        <v>95</v>
      </c>
      <c r="E25" s="7" t="s">
        <v>116</v>
      </c>
      <c r="F25" s="7" t="s">
        <v>302</v>
      </c>
      <c r="G25" s="7" t="s">
        <v>303</v>
      </c>
      <c r="H25" s="7" t="s">
        <v>133</v>
      </c>
      <c r="I25" s="7">
        <v>1487</v>
      </c>
      <c r="J25" s="7">
        <v>386</v>
      </c>
      <c r="K25" s="7">
        <v>0</v>
      </c>
      <c r="L25" s="7">
        <v>0</v>
      </c>
      <c r="M25" s="7">
        <v>42</v>
      </c>
      <c r="N25" s="22">
        <v>1.2759999999999998E-4</v>
      </c>
    </row>
    <row r="26" spans="1:14">
      <c r="A26" s="7" t="s">
        <v>24</v>
      </c>
      <c r="B26" s="7">
        <v>16</v>
      </c>
      <c r="C26" s="7">
        <v>16</v>
      </c>
      <c r="D26" s="7" t="s">
        <v>95</v>
      </c>
      <c r="E26" s="7" t="s">
        <v>116</v>
      </c>
      <c r="F26" s="7" t="s">
        <v>302</v>
      </c>
      <c r="G26" s="7" t="s">
        <v>303</v>
      </c>
      <c r="H26" s="7" t="s">
        <v>134</v>
      </c>
      <c r="I26" s="7">
        <v>1187</v>
      </c>
      <c r="J26" s="7">
        <v>404</v>
      </c>
      <c r="K26" s="7">
        <v>0</v>
      </c>
      <c r="L26" s="7">
        <v>0</v>
      </c>
      <c r="M26" s="7">
        <v>42</v>
      </c>
      <c r="N26" s="22">
        <v>1.3120000000000002E-4</v>
      </c>
    </row>
    <row r="27" spans="1:14">
      <c r="A27" s="7" t="s">
        <v>24</v>
      </c>
      <c r="B27" s="7">
        <v>17</v>
      </c>
      <c r="C27" s="7">
        <v>17</v>
      </c>
      <c r="D27" s="7" t="s">
        <v>95</v>
      </c>
      <c r="E27" s="7" t="s">
        <v>116</v>
      </c>
      <c r="F27" s="7" t="s">
        <v>302</v>
      </c>
      <c r="G27" s="7" t="s">
        <v>303</v>
      </c>
      <c r="H27" s="7" t="s">
        <v>135</v>
      </c>
      <c r="I27" s="7">
        <v>1185</v>
      </c>
      <c r="J27" s="7">
        <v>410</v>
      </c>
      <c r="K27" s="7">
        <v>0</v>
      </c>
      <c r="L27" s="7">
        <v>0</v>
      </c>
      <c r="M27" s="7">
        <v>42</v>
      </c>
      <c r="N27" s="22">
        <v>1.3239999999999999E-4</v>
      </c>
    </row>
    <row r="28" spans="1:14">
      <c r="A28" s="7" t="s">
        <v>24</v>
      </c>
      <c r="B28" s="7">
        <v>18</v>
      </c>
      <c r="C28" s="7">
        <v>18</v>
      </c>
      <c r="D28" s="7" t="s">
        <v>95</v>
      </c>
      <c r="E28" s="7" t="s">
        <v>116</v>
      </c>
      <c r="F28" s="7" t="s">
        <v>302</v>
      </c>
      <c r="G28" s="7" t="s">
        <v>303</v>
      </c>
      <c r="H28" s="7" t="s">
        <v>136</v>
      </c>
      <c r="I28" s="7">
        <v>1181</v>
      </c>
      <c r="J28" s="7">
        <v>382</v>
      </c>
      <c r="K28" s="7">
        <v>0</v>
      </c>
      <c r="L28" s="7">
        <v>0</v>
      </c>
      <c r="M28" s="7">
        <v>42</v>
      </c>
      <c r="N28" s="22">
        <v>1.2680000000000002E-4</v>
      </c>
    </row>
    <row r="29" spans="1:14">
      <c r="A29" s="7" t="s">
        <v>24</v>
      </c>
      <c r="B29" s="7">
        <v>19</v>
      </c>
      <c r="C29" s="7">
        <v>19</v>
      </c>
      <c r="D29" s="7" t="s">
        <v>95</v>
      </c>
      <c r="E29" s="7" t="s">
        <v>116</v>
      </c>
      <c r="F29" s="7" t="s">
        <v>302</v>
      </c>
      <c r="G29" s="7" t="s">
        <v>303</v>
      </c>
      <c r="H29" s="7" t="s">
        <v>137</v>
      </c>
      <c r="I29" s="7">
        <v>1322</v>
      </c>
      <c r="J29" s="7">
        <v>414</v>
      </c>
      <c r="K29" s="7">
        <v>0</v>
      </c>
      <c r="L29" s="7">
        <v>0</v>
      </c>
      <c r="M29" s="7">
        <v>42</v>
      </c>
      <c r="N29" s="22">
        <v>1.3320000000000001E-4</v>
      </c>
    </row>
    <row r="30" spans="1:14">
      <c r="A30" s="7" t="s">
        <v>24</v>
      </c>
      <c r="B30" s="7">
        <v>20</v>
      </c>
      <c r="C30" s="7">
        <v>20</v>
      </c>
      <c r="D30" s="7" t="s">
        <v>95</v>
      </c>
      <c r="E30" s="7" t="s">
        <v>116</v>
      </c>
      <c r="F30" s="7" t="s">
        <v>302</v>
      </c>
      <c r="G30" s="7" t="s">
        <v>303</v>
      </c>
      <c r="H30" s="7" t="s">
        <v>138</v>
      </c>
      <c r="I30" s="7">
        <v>1437</v>
      </c>
      <c r="J30" s="7">
        <v>383</v>
      </c>
      <c r="K30" s="7">
        <v>0</v>
      </c>
      <c r="L30" s="7">
        <v>0</v>
      </c>
      <c r="M30" s="7">
        <v>42</v>
      </c>
      <c r="N30" s="22">
        <v>1.27E-4</v>
      </c>
    </row>
    <row r="31" spans="1:14">
      <c r="A31" s="7" t="s">
        <v>45</v>
      </c>
      <c r="B31" s="7">
        <v>21</v>
      </c>
      <c r="C31" s="7">
        <v>21</v>
      </c>
      <c r="D31" s="7" t="s">
        <v>95</v>
      </c>
      <c r="E31" s="7" t="s">
        <v>115</v>
      </c>
      <c r="F31" s="7" t="s">
        <v>302</v>
      </c>
      <c r="G31" s="7" t="s">
        <v>303</v>
      </c>
      <c r="H31" s="7" t="s">
        <v>139</v>
      </c>
      <c r="I31" s="7">
        <v>1004</v>
      </c>
      <c r="J31" s="7">
        <v>617</v>
      </c>
      <c r="K31" s="7">
        <v>0</v>
      </c>
      <c r="L31" s="7">
        <v>0</v>
      </c>
      <c r="M31" s="7">
        <v>43</v>
      </c>
      <c r="N31" s="22">
        <v>1.75E-4</v>
      </c>
    </row>
    <row r="32" spans="1:14">
      <c r="A32" s="7" t="s">
        <v>24</v>
      </c>
      <c r="B32" s="7">
        <v>21</v>
      </c>
      <c r="C32" s="7">
        <v>21</v>
      </c>
      <c r="D32" s="7" t="s">
        <v>95</v>
      </c>
      <c r="E32" s="7" t="s">
        <v>116</v>
      </c>
      <c r="F32" s="7" t="s">
        <v>302</v>
      </c>
      <c r="G32" s="7" t="s">
        <v>303</v>
      </c>
      <c r="H32" s="7" t="s">
        <v>139</v>
      </c>
      <c r="I32" s="7">
        <v>1503</v>
      </c>
      <c r="J32" s="7">
        <v>488</v>
      </c>
      <c r="K32" s="7">
        <v>0</v>
      </c>
      <c r="L32" s="7">
        <v>0</v>
      </c>
      <c r="M32" s="7">
        <v>42</v>
      </c>
      <c r="N32" s="22">
        <v>1.4799999999999999E-4</v>
      </c>
    </row>
    <row r="33" spans="1:14">
      <c r="A33" s="7" t="s">
        <v>24</v>
      </c>
      <c r="B33" s="7">
        <v>22</v>
      </c>
      <c r="C33" s="7">
        <v>22</v>
      </c>
      <c r="D33" s="7" t="s">
        <v>95</v>
      </c>
      <c r="E33" s="7" t="s">
        <v>116</v>
      </c>
      <c r="F33" s="7" t="s">
        <v>302</v>
      </c>
      <c r="G33" s="7" t="s">
        <v>303</v>
      </c>
      <c r="H33" s="7" t="s">
        <v>141</v>
      </c>
      <c r="I33" s="7">
        <v>1171</v>
      </c>
      <c r="J33" s="7">
        <v>442</v>
      </c>
      <c r="K33" s="7">
        <v>0</v>
      </c>
      <c r="L33" s="7">
        <v>0</v>
      </c>
      <c r="M33" s="7">
        <v>42</v>
      </c>
      <c r="N33" s="22">
        <v>1.3880000000000001E-4</v>
      </c>
    </row>
    <row r="34" spans="1:14">
      <c r="A34" s="7" t="s">
        <v>45</v>
      </c>
      <c r="B34" s="7">
        <v>23</v>
      </c>
      <c r="C34" s="7">
        <v>23</v>
      </c>
      <c r="D34" s="7" t="s">
        <v>95</v>
      </c>
      <c r="E34" s="7" t="s">
        <v>115</v>
      </c>
      <c r="F34" s="7" t="s">
        <v>302</v>
      </c>
      <c r="G34" s="7" t="s">
        <v>303</v>
      </c>
      <c r="H34" s="7" t="s">
        <v>142</v>
      </c>
      <c r="I34" s="7">
        <v>1185</v>
      </c>
      <c r="J34" s="7">
        <v>462</v>
      </c>
      <c r="K34" s="7">
        <v>0</v>
      </c>
      <c r="L34" s="7">
        <v>0</v>
      </c>
      <c r="M34" s="7">
        <v>43</v>
      </c>
      <c r="N34" s="22">
        <v>1.44E-4</v>
      </c>
    </row>
    <row r="35" spans="1:14">
      <c r="A35" s="7" t="s">
        <v>24</v>
      </c>
      <c r="B35" s="7">
        <v>23</v>
      </c>
      <c r="C35" s="7">
        <v>23</v>
      </c>
      <c r="D35" s="7" t="s">
        <v>95</v>
      </c>
      <c r="E35" s="7" t="s">
        <v>116</v>
      </c>
      <c r="F35" s="7" t="s">
        <v>302</v>
      </c>
      <c r="G35" s="7" t="s">
        <v>303</v>
      </c>
      <c r="H35" s="7" t="s">
        <v>142</v>
      </c>
      <c r="I35" s="7">
        <v>1178</v>
      </c>
      <c r="J35" s="7">
        <v>378</v>
      </c>
      <c r="K35" s="7">
        <v>0</v>
      </c>
      <c r="L35" s="7">
        <v>0</v>
      </c>
      <c r="M35" s="7">
        <v>42</v>
      </c>
      <c r="N35" s="22">
        <v>1.26E-4</v>
      </c>
    </row>
    <row r="36" spans="1:14">
      <c r="A36" s="7" t="s">
        <v>45</v>
      </c>
      <c r="B36" s="7">
        <v>24</v>
      </c>
      <c r="C36" s="7">
        <v>24</v>
      </c>
      <c r="D36" s="7" t="s">
        <v>95</v>
      </c>
      <c r="E36" s="7" t="s">
        <v>115</v>
      </c>
      <c r="F36" s="7" t="s">
        <v>302</v>
      </c>
      <c r="G36" s="7" t="s">
        <v>303</v>
      </c>
      <c r="H36" s="7" t="s">
        <v>143</v>
      </c>
      <c r="I36" s="7">
        <v>1151</v>
      </c>
      <c r="J36" s="7">
        <v>460</v>
      </c>
      <c r="K36" s="7">
        <v>0</v>
      </c>
      <c r="L36" s="7">
        <v>0</v>
      </c>
      <c r="M36" s="7">
        <v>43</v>
      </c>
      <c r="N36" s="22">
        <v>1.4359999999999999E-4</v>
      </c>
    </row>
    <row r="37" spans="1:14">
      <c r="A37" s="7" t="s">
        <v>24</v>
      </c>
      <c r="B37" s="7">
        <v>24</v>
      </c>
      <c r="C37" s="7">
        <v>24</v>
      </c>
      <c r="D37" s="7" t="s">
        <v>95</v>
      </c>
      <c r="E37" s="7" t="s">
        <v>116</v>
      </c>
      <c r="F37" s="7" t="s">
        <v>302</v>
      </c>
      <c r="G37" s="7" t="s">
        <v>303</v>
      </c>
      <c r="H37" s="7" t="s">
        <v>143</v>
      </c>
      <c r="I37" s="7">
        <v>1128</v>
      </c>
      <c r="J37" s="7">
        <v>376</v>
      </c>
      <c r="K37" s="7">
        <v>0</v>
      </c>
      <c r="L37" s="7">
        <v>0</v>
      </c>
      <c r="M37" s="7">
        <v>42</v>
      </c>
      <c r="N37" s="22">
        <v>1.2559999999999999E-4</v>
      </c>
    </row>
    <row r="38" spans="1:14">
      <c r="A38" s="7" t="s">
        <v>24</v>
      </c>
      <c r="B38" s="7">
        <v>25</v>
      </c>
      <c r="C38" s="7">
        <v>25</v>
      </c>
      <c r="D38" s="7" t="s">
        <v>95</v>
      </c>
      <c r="E38" s="7" t="s">
        <v>116</v>
      </c>
      <c r="F38" s="7" t="s">
        <v>302</v>
      </c>
      <c r="G38" s="7" t="s">
        <v>303</v>
      </c>
      <c r="H38" s="7" t="s">
        <v>144</v>
      </c>
      <c r="I38" s="7">
        <v>1703</v>
      </c>
      <c r="J38" s="7">
        <v>386</v>
      </c>
      <c r="K38" s="7">
        <v>0</v>
      </c>
      <c r="L38" s="7">
        <v>0</v>
      </c>
      <c r="M38" s="7">
        <v>42</v>
      </c>
      <c r="N38" s="22">
        <v>1.2759999999999998E-4</v>
      </c>
    </row>
    <row r="39" spans="1:14">
      <c r="A39" s="7" t="s">
        <v>24</v>
      </c>
      <c r="B39" s="7">
        <v>26</v>
      </c>
      <c r="C39" s="7">
        <v>26</v>
      </c>
      <c r="D39" s="7" t="s">
        <v>95</v>
      </c>
      <c r="E39" s="7" t="s">
        <v>116</v>
      </c>
      <c r="F39" s="7" t="s">
        <v>302</v>
      </c>
      <c r="G39" s="7" t="s">
        <v>303</v>
      </c>
      <c r="H39" s="7" t="s">
        <v>145</v>
      </c>
      <c r="I39" s="7">
        <v>1559</v>
      </c>
      <c r="J39" s="7">
        <v>410</v>
      </c>
      <c r="K39" s="7">
        <v>0</v>
      </c>
      <c r="L39" s="7">
        <v>0</v>
      </c>
      <c r="M39" s="7">
        <v>42</v>
      </c>
      <c r="N39" s="22">
        <v>1.3239999999999999E-4</v>
      </c>
    </row>
    <row r="40" spans="1:14">
      <c r="A40" s="7" t="s">
        <v>45</v>
      </c>
      <c r="B40" s="7">
        <v>27</v>
      </c>
      <c r="C40" s="7">
        <v>27</v>
      </c>
      <c r="D40" s="7" t="s">
        <v>95</v>
      </c>
      <c r="E40" s="7" t="s">
        <v>115</v>
      </c>
      <c r="F40" s="7" t="s">
        <v>302</v>
      </c>
      <c r="G40" s="7" t="s">
        <v>303</v>
      </c>
      <c r="H40" s="7" t="s">
        <v>146</v>
      </c>
      <c r="I40" s="7">
        <v>1404</v>
      </c>
      <c r="J40" s="7">
        <v>474</v>
      </c>
      <c r="K40" s="7">
        <v>0</v>
      </c>
      <c r="L40" s="7">
        <v>0</v>
      </c>
      <c r="M40" s="7">
        <v>43</v>
      </c>
      <c r="N40" s="22">
        <v>1.4640000000000001E-4</v>
      </c>
    </row>
    <row r="41" spans="1:14">
      <c r="A41" s="7" t="s">
        <v>24</v>
      </c>
      <c r="B41" s="7">
        <v>27</v>
      </c>
      <c r="C41" s="7">
        <v>27</v>
      </c>
      <c r="D41" s="7" t="s">
        <v>95</v>
      </c>
      <c r="E41" s="7" t="s">
        <v>116</v>
      </c>
      <c r="F41" s="7" t="s">
        <v>302</v>
      </c>
      <c r="G41" s="7" t="s">
        <v>303</v>
      </c>
      <c r="H41" s="7" t="s">
        <v>146</v>
      </c>
      <c r="I41" s="7">
        <v>1363</v>
      </c>
      <c r="J41" s="7">
        <v>390</v>
      </c>
      <c r="K41" s="7">
        <v>0</v>
      </c>
      <c r="L41" s="7">
        <v>0</v>
      </c>
      <c r="M41" s="7">
        <v>42</v>
      </c>
      <c r="N41" s="22">
        <v>1.284E-4</v>
      </c>
    </row>
    <row r="42" spans="1:14">
      <c r="A42" s="7" t="s">
        <v>45</v>
      </c>
      <c r="B42" s="7">
        <v>28</v>
      </c>
      <c r="C42" s="7">
        <v>28</v>
      </c>
      <c r="D42" s="7" t="s">
        <v>95</v>
      </c>
      <c r="E42" s="7" t="s">
        <v>115</v>
      </c>
      <c r="F42" s="7" t="s">
        <v>302</v>
      </c>
      <c r="G42" s="7" t="s">
        <v>304</v>
      </c>
      <c r="H42" s="7" t="s">
        <v>147</v>
      </c>
      <c r="I42" s="7">
        <v>1179</v>
      </c>
      <c r="J42" s="7">
        <v>655</v>
      </c>
      <c r="K42" s="7">
        <v>0</v>
      </c>
      <c r="L42" s="7">
        <v>0</v>
      </c>
      <c r="M42" s="7">
        <v>43</v>
      </c>
      <c r="N42" s="22">
        <v>1.8259999999999999E-4</v>
      </c>
    </row>
    <row r="43" spans="1:14">
      <c r="A43" s="7" t="s">
        <v>24</v>
      </c>
      <c r="B43" s="7">
        <v>28</v>
      </c>
      <c r="C43" s="7">
        <v>28</v>
      </c>
      <c r="D43" s="7" t="s">
        <v>95</v>
      </c>
      <c r="E43" s="7" t="s">
        <v>116</v>
      </c>
      <c r="F43" s="7" t="s">
        <v>302</v>
      </c>
      <c r="G43" s="7" t="s">
        <v>303</v>
      </c>
      <c r="H43" s="7" t="s">
        <v>147</v>
      </c>
      <c r="I43" s="7">
        <v>1030</v>
      </c>
      <c r="J43" s="7">
        <v>528</v>
      </c>
      <c r="K43" s="7">
        <v>0</v>
      </c>
      <c r="L43" s="7">
        <v>0</v>
      </c>
      <c r="M43" s="7">
        <v>42</v>
      </c>
      <c r="N43" s="22">
        <v>1.56E-4</v>
      </c>
    </row>
    <row r="44" spans="1:14">
      <c r="A44" s="7" t="s">
        <v>45</v>
      </c>
      <c r="B44" s="7">
        <v>29</v>
      </c>
      <c r="C44" s="7">
        <v>29</v>
      </c>
      <c r="D44" s="7" t="s">
        <v>95</v>
      </c>
      <c r="E44" s="7" t="s">
        <v>115</v>
      </c>
      <c r="F44" s="7" t="s">
        <v>302</v>
      </c>
      <c r="G44" s="7" t="s">
        <v>303</v>
      </c>
      <c r="H44" s="7" t="s">
        <v>149</v>
      </c>
      <c r="I44" s="7">
        <v>1161</v>
      </c>
      <c r="J44" s="7">
        <v>576</v>
      </c>
      <c r="K44" s="7">
        <v>0</v>
      </c>
      <c r="L44" s="7">
        <v>0</v>
      </c>
      <c r="M44" s="7">
        <v>43</v>
      </c>
      <c r="N44" s="22">
        <v>1.6680000000000002E-4</v>
      </c>
    </row>
    <row r="45" spans="1:14">
      <c r="A45" s="7" t="s">
        <v>24</v>
      </c>
      <c r="B45" s="7">
        <v>29</v>
      </c>
      <c r="C45" s="7">
        <v>29</v>
      </c>
      <c r="D45" s="7" t="s">
        <v>95</v>
      </c>
      <c r="E45" s="7" t="s">
        <v>116</v>
      </c>
      <c r="F45" s="7" t="s">
        <v>302</v>
      </c>
      <c r="G45" s="7" t="s">
        <v>303</v>
      </c>
      <c r="H45" s="7" t="s">
        <v>149</v>
      </c>
      <c r="I45" s="7">
        <v>1134</v>
      </c>
      <c r="J45" s="7">
        <v>439</v>
      </c>
      <c r="K45" s="7">
        <v>0</v>
      </c>
      <c r="L45" s="7">
        <v>0</v>
      </c>
      <c r="M45" s="7">
        <v>42</v>
      </c>
      <c r="N45" s="22">
        <v>1.3820000000000003E-4</v>
      </c>
    </row>
    <row r="46" spans="1:14">
      <c r="A46" s="7" t="s">
        <v>24</v>
      </c>
      <c r="B46" s="7">
        <v>30</v>
      </c>
      <c r="C46" s="7">
        <v>31</v>
      </c>
      <c r="D46" s="7" t="s">
        <v>95</v>
      </c>
      <c r="E46" s="7" t="s">
        <v>116</v>
      </c>
      <c r="F46" s="7" t="s">
        <v>302</v>
      </c>
      <c r="G46" s="7" t="s">
        <v>303</v>
      </c>
      <c r="H46" s="7" t="s">
        <v>151</v>
      </c>
      <c r="I46" s="7">
        <v>1239</v>
      </c>
      <c r="J46" s="7">
        <v>444</v>
      </c>
      <c r="K46" s="7">
        <v>0</v>
      </c>
      <c r="L46" s="7">
        <v>0</v>
      </c>
      <c r="M46" s="7">
        <v>42</v>
      </c>
      <c r="N46" s="22">
        <v>1.3920000000000002E-4</v>
      </c>
    </row>
    <row r="47" spans="1:14">
      <c r="A47" s="7" t="s">
        <v>24</v>
      </c>
      <c r="B47" s="7">
        <v>31</v>
      </c>
      <c r="C47" s="7">
        <v>32</v>
      </c>
      <c r="D47" s="7" t="s">
        <v>95</v>
      </c>
      <c r="E47" s="7" t="s">
        <v>116</v>
      </c>
      <c r="F47" s="7" t="s">
        <v>302</v>
      </c>
      <c r="G47" s="7" t="s">
        <v>303</v>
      </c>
      <c r="H47" s="7" t="s">
        <v>152</v>
      </c>
      <c r="I47" s="7">
        <v>1229</v>
      </c>
      <c r="J47" s="7">
        <v>404</v>
      </c>
      <c r="K47" s="7">
        <v>0</v>
      </c>
      <c r="L47" s="7">
        <v>0</v>
      </c>
      <c r="M47" s="7">
        <v>42</v>
      </c>
      <c r="N47" s="22">
        <v>1.3120000000000002E-4</v>
      </c>
    </row>
    <row r="48" spans="1:14">
      <c r="A48" s="7" t="s">
        <v>24</v>
      </c>
      <c r="B48" s="7">
        <v>32</v>
      </c>
      <c r="C48" s="7">
        <v>33</v>
      </c>
      <c r="D48" s="7" t="s">
        <v>95</v>
      </c>
      <c r="E48" s="7" t="s">
        <v>116</v>
      </c>
      <c r="F48" s="7" t="s">
        <v>302</v>
      </c>
      <c r="G48" s="7" t="s">
        <v>303</v>
      </c>
      <c r="H48" s="7" t="s">
        <v>153</v>
      </c>
      <c r="I48" s="7">
        <v>1504</v>
      </c>
      <c r="J48" s="7">
        <v>399</v>
      </c>
      <c r="K48" s="7">
        <v>0</v>
      </c>
      <c r="L48" s="7">
        <v>0</v>
      </c>
      <c r="M48" s="7">
        <v>42</v>
      </c>
      <c r="N48" s="22">
        <v>1.3020000000000002E-4</v>
      </c>
    </row>
    <row r="49" spans="1:14">
      <c r="A49" s="7" t="s">
        <v>24</v>
      </c>
      <c r="B49" s="7">
        <v>33</v>
      </c>
      <c r="C49" s="7">
        <v>34</v>
      </c>
      <c r="D49" s="7" t="s">
        <v>95</v>
      </c>
      <c r="E49" s="7" t="s">
        <v>116</v>
      </c>
      <c r="F49" s="7" t="s">
        <v>302</v>
      </c>
      <c r="G49" s="7" t="s">
        <v>303</v>
      </c>
      <c r="H49" s="7" t="s">
        <v>154</v>
      </c>
      <c r="I49" s="7">
        <v>1126</v>
      </c>
      <c r="J49" s="7">
        <v>392</v>
      </c>
      <c r="K49" s="7">
        <v>0</v>
      </c>
      <c r="L49" s="7">
        <v>0</v>
      </c>
      <c r="M49" s="7">
        <v>42</v>
      </c>
      <c r="N49" s="22">
        <v>1.2880000000000001E-4</v>
      </c>
    </row>
    <row r="50" spans="1:14">
      <c r="A50" s="7" t="s">
        <v>24</v>
      </c>
      <c r="B50" s="7">
        <v>34</v>
      </c>
      <c r="C50" s="7">
        <v>35</v>
      </c>
      <c r="D50" s="7" t="s">
        <v>95</v>
      </c>
      <c r="E50" s="7" t="s">
        <v>116</v>
      </c>
      <c r="F50" s="7" t="s">
        <v>302</v>
      </c>
      <c r="G50" s="7" t="s">
        <v>303</v>
      </c>
      <c r="H50" s="7" t="s">
        <v>155</v>
      </c>
      <c r="I50" s="7">
        <v>1155</v>
      </c>
      <c r="J50" s="7">
        <v>421</v>
      </c>
      <c r="K50" s="7">
        <v>0</v>
      </c>
      <c r="L50" s="7">
        <v>0</v>
      </c>
      <c r="M50" s="7">
        <v>42</v>
      </c>
      <c r="N50" s="22">
        <v>1.3459999999999999E-4</v>
      </c>
    </row>
    <row r="51" spans="1:14">
      <c r="A51" s="7" t="s">
        <v>45</v>
      </c>
      <c r="B51" s="7">
        <v>35</v>
      </c>
      <c r="C51" s="7">
        <v>36</v>
      </c>
      <c r="D51" s="7" t="s">
        <v>95</v>
      </c>
      <c r="E51" s="7" t="s">
        <v>115</v>
      </c>
      <c r="F51" s="7" t="s">
        <v>302</v>
      </c>
      <c r="G51" s="7" t="s">
        <v>303</v>
      </c>
      <c r="H51" s="7" t="s">
        <v>156</v>
      </c>
      <c r="I51" s="7">
        <v>1167</v>
      </c>
      <c r="J51" s="7">
        <v>449</v>
      </c>
      <c r="K51" s="7">
        <v>0</v>
      </c>
      <c r="L51" s="7">
        <v>0</v>
      </c>
      <c r="M51" s="7">
        <v>43</v>
      </c>
      <c r="N51" s="22">
        <v>1.4139999999999999E-4</v>
      </c>
    </row>
    <row r="52" spans="1:14">
      <c r="A52" s="7" t="s">
        <v>24</v>
      </c>
      <c r="B52" s="7">
        <v>35</v>
      </c>
      <c r="C52" s="7">
        <v>36</v>
      </c>
      <c r="D52" s="7" t="s">
        <v>95</v>
      </c>
      <c r="E52" s="7" t="s">
        <v>116</v>
      </c>
      <c r="F52" s="7" t="s">
        <v>302</v>
      </c>
      <c r="G52" s="7" t="s">
        <v>303</v>
      </c>
      <c r="H52" s="7" t="s">
        <v>156</v>
      </c>
      <c r="I52" s="7">
        <v>1331</v>
      </c>
      <c r="J52" s="7">
        <v>374</v>
      </c>
      <c r="K52" s="7">
        <v>0</v>
      </c>
      <c r="L52" s="7">
        <v>0</v>
      </c>
      <c r="M52" s="7">
        <v>42</v>
      </c>
      <c r="N52" s="22">
        <v>1.2519999999999998E-4</v>
      </c>
    </row>
    <row r="53" spans="1:14">
      <c r="A53" s="7" t="s">
        <v>24</v>
      </c>
      <c r="B53" s="7">
        <v>36</v>
      </c>
      <c r="C53" s="7">
        <v>37</v>
      </c>
      <c r="D53" s="7" t="s">
        <v>95</v>
      </c>
      <c r="E53" s="7" t="s">
        <v>116</v>
      </c>
      <c r="F53" s="7" t="s">
        <v>302</v>
      </c>
      <c r="G53" s="7" t="s">
        <v>303</v>
      </c>
      <c r="H53" s="7" t="s">
        <v>157</v>
      </c>
      <c r="I53" s="7">
        <v>1425</v>
      </c>
      <c r="J53" s="7">
        <v>416</v>
      </c>
      <c r="K53" s="7">
        <v>0</v>
      </c>
      <c r="L53" s="7">
        <v>0</v>
      </c>
      <c r="M53" s="7">
        <v>42</v>
      </c>
      <c r="N53" s="22">
        <v>1.3359999999999999E-4</v>
      </c>
    </row>
    <row r="54" spans="1:14">
      <c r="A54" s="7" t="s">
        <v>45</v>
      </c>
      <c r="B54" s="7">
        <v>37</v>
      </c>
      <c r="C54" s="7">
        <v>38</v>
      </c>
      <c r="D54" s="7" t="s">
        <v>95</v>
      </c>
      <c r="E54" s="7" t="s">
        <v>115</v>
      </c>
      <c r="F54" s="7" t="s">
        <v>302</v>
      </c>
      <c r="G54" s="7" t="s">
        <v>303</v>
      </c>
      <c r="H54" s="7" t="s">
        <v>158</v>
      </c>
      <c r="I54" s="7">
        <v>1884</v>
      </c>
      <c r="J54" s="7">
        <v>489</v>
      </c>
      <c r="K54" s="7">
        <v>0</v>
      </c>
      <c r="L54" s="7">
        <v>0</v>
      </c>
      <c r="M54" s="7">
        <v>43</v>
      </c>
      <c r="N54" s="22">
        <v>1.494E-4</v>
      </c>
    </row>
    <row r="55" spans="1:14">
      <c r="A55" s="7" t="s">
        <v>24</v>
      </c>
      <c r="B55" s="7">
        <v>37</v>
      </c>
      <c r="C55" s="7">
        <v>38</v>
      </c>
      <c r="D55" s="7" t="s">
        <v>95</v>
      </c>
      <c r="E55" s="7" t="s">
        <v>116</v>
      </c>
      <c r="F55" s="7" t="s">
        <v>302</v>
      </c>
      <c r="G55" s="7" t="s">
        <v>303</v>
      </c>
      <c r="H55" s="7" t="s">
        <v>158</v>
      </c>
      <c r="I55" s="7">
        <v>1287</v>
      </c>
      <c r="J55" s="7">
        <v>414</v>
      </c>
      <c r="K55" s="7">
        <v>0</v>
      </c>
      <c r="L55" s="7">
        <v>0</v>
      </c>
      <c r="M55" s="7">
        <v>42</v>
      </c>
      <c r="N55" s="22">
        <v>1.3320000000000001E-4</v>
      </c>
    </row>
    <row r="56" spans="1:14">
      <c r="A56" s="7" t="s">
        <v>24</v>
      </c>
      <c r="B56" s="7">
        <v>38</v>
      </c>
      <c r="C56" s="7">
        <v>39</v>
      </c>
      <c r="D56" s="7" t="s">
        <v>95</v>
      </c>
      <c r="E56" s="7" t="s">
        <v>116</v>
      </c>
      <c r="F56" s="7" t="s">
        <v>302</v>
      </c>
      <c r="G56" s="7" t="s">
        <v>303</v>
      </c>
      <c r="H56" s="7" t="s">
        <v>159</v>
      </c>
      <c r="I56" s="7">
        <v>1354</v>
      </c>
      <c r="J56" s="7">
        <v>428</v>
      </c>
      <c r="K56" s="7">
        <v>0</v>
      </c>
      <c r="L56" s="7">
        <v>0</v>
      </c>
      <c r="M56" s="7">
        <v>42</v>
      </c>
      <c r="N56" s="22">
        <v>1.36E-4</v>
      </c>
    </row>
    <row r="57" spans="1:14">
      <c r="A57" s="7" t="s">
        <v>24</v>
      </c>
      <c r="B57" s="7">
        <v>39</v>
      </c>
      <c r="C57" s="7">
        <v>40</v>
      </c>
      <c r="D57" s="7" t="s">
        <v>95</v>
      </c>
      <c r="E57" s="7" t="s">
        <v>116</v>
      </c>
      <c r="F57" s="7" t="s">
        <v>302</v>
      </c>
      <c r="G57" s="7" t="s">
        <v>303</v>
      </c>
      <c r="H57" s="7" t="s">
        <v>160</v>
      </c>
      <c r="I57" s="7">
        <v>1399</v>
      </c>
      <c r="J57" s="7">
        <v>430</v>
      </c>
      <c r="K57" s="7">
        <v>0</v>
      </c>
      <c r="L57" s="7">
        <v>0</v>
      </c>
      <c r="M57" s="7">
        <v>42</v>
      </c>
      <c r="N57" s="22">
        <v>1.3640000000000001E-4</v>
      </c>
    </row>
    <row r="58" spans="1:14">
      <c r="A58" s="7" t="s">
        <v>24</v>
      </c>
      <c r="B58" s="7">
        <v>40</v>
      </c>
      <c r="C58" s="7">
        <v>41</v>
      </c>
      <c r="D58" s="7" t="s">
        <v>95</v>
      </c>
      <c r="E58" s="7" t="s">
        <v>116</v>
      </c>
      <c r="F58" s="7" t="s">
        <v>302</v>
      </c>
      <c r="G58" s="7" t="s">
        <v>303</v>
      </c>
      <c r="H58" s="7" t="s">
        <v>161</v>
      </c>
      <c r="I58" s="7">
        <v>1993</v>
      </c>
      <c r="J58" s="7">
        <v>402</v>
      </c>
      <c r="K58" s="7">
        <v>0</v>
      </c>
      <c r="L58" s="7">
        <v>0</v>
      </c>
      <c r="M58" s="7">
        <v>42</v>
      </c>
      <c r="N58" s="22">
        <v>1.3080000000000001E-4</v>
      </c>
    </row>
    <row r="59" spans="1:14">
      <c r="A59" s="7" t="s">
        <v>45</v>
      </c>
      <c r="B59" s="7">
        <v>41</v>
      </c>
      <c r="C59" s="7">
        <v>42</v>
      </c>
      <c r="D59" s="7" t="s">
        <v>95</v>
      </c>
      <c r="E59" s="7" t="s">
        <v>115</v>
      </c>
      <c r="F59" s="7" t="s">
        <v>302</v>
      </c>
      <c r="G59" s="7" t="s">
        <v>303</v>
      </c>
      <c r="H59" s="7" t="s">
        <v>162</v>
      </c>
      <c r="I59" s="7">
        <v>1051</v>
      </c>
      <c r="J59" s="7">
        <v>586</v>
      </c>
      <c r="K59" s="7">
        <v>0</v>
      </c>
      <c r="L59" s="7">
        <v>0</v>
      </c>
      <c r="M59" s="7">
        <v>43</v>
      </c>
      <c r="N59" s="22">
        <v>1.6880000000000001E-4</v>
      </c>
    </row>
    <row r="60" spans="1:14">
      <c r="A60" s="7" t="s">
        <v>24</v>
      </c>
      <c r="B60" s="7">
        <v>41</v>
      </c>
      <c r="C60" s="7">
        <v>42</v>
      </c>
      <c r="D60" s="7" t="s">
        <v>95</v>
      </c>
      <c r="E60" s="7" t="s">
        <v>116</v>
      </c>
      <c r="F60" s="7" t="s">
        <v>302</v>
      </c>
      <c r="G60" s="7" t="s">
        <v>303</v>
      </c>
      <c r="H60" s="7" t="s">
        <v>162</v>
      </c>
      <c r="I60" s="7">
        <v>1591</v>
      </c>
      <c r="J60" s="7">
        <v>458</v>
      </c>
      <c r="K60" s="7">
        <v>0</v>
      </c>
      <c r="L60" s="7">
        <v>0</v>
      </c>
      <c r="M60" s="7">
        <v>42</v>
      </c>
      <c r="N60" s="22">
        <v>1.4200000000000001E-4</v>
      </c>
    </row>
    <row r="61" spans="1:14">
      <c r="A61" s="7" t="s">
        <v>24</v>
      </c>
      <c r="B61" s="7">
        <v>42</v>
      </c>
      <c r="C61" s="7">
        <v>43</v>
      </c>
      <c r="D61" s="7" t="s">
        <v>95</v>
      </c>
      <c r="E61" s="7" t="s">
        <v>116</v>
      </c>
      <c r="F61" s="7" t="s">
        <v>302</v>
      </c>
      <c r="G61" s="7" t="s">
        <v>303</v>
      </c>
      <c r="H61" s="7" t="s">
        <v>164</v>
      </c>
      <c r="I61" s="7">
        <v>1153</v>
      </c>
      <c r="J61" s="7">
        <v>400</v>
      </c>
      <c r="K61" s="7">
        <v>0</v>
      </c>
      <c r="L61" s="7">
        <v>0</v>
      </c>
      <c r="M61" s="7">
        <v>42</v>
      </c>
      <c r="N61" s="22">
        <v>1.304E-4</v>
      </c>
    </row>
    <row r="62" spans="1:14">
      <c r="A62" s="7" t="s">
        <v>24</v>
      </c>
      <c r="B62" s="7">
        <v>43</v>
      </c>
      <c r="C62" s="7">
        <v>44</v>
      </c>
      <c r="D62" s="7" t="s">
        <v>95</v>
      </c>
      <c r="E62" s="7" t="s">
        <v>116</v>
      </c>
      <c r="F62" s="7" t="s">
        <v>302</v>
      </c>
      <c r="G62" s="7" t="s">
        <v>303</v>
      </c>
      <c r="H62" s="7" t="s">
        <v>165</v>
      </c>
      <c r="I62" s="7">
        <v>1150</v>
      </c>
      <c r="J62" s="7">
        <v>380</v>
      </c>
      <c r="K62" s="7">
        <v>0</v>
      </c>
      <c r="L62" s="7">
        <v>0</v>
      </c>
      <c r="M62" s="7">
        <v>42</v>
      </c>
      <c r="N62" s="22">
        <v>1.2640000000000001E-4</v>
      </c>
    </row>
    <row r="63" spans="1:14">
      <c r="A63" s="7" t="s">
        <v>24</v>
      </c>
      <c r="B63" s="7">
        <v>44</v>
      </c>
      <c r="C63" s="7">
        <v>45</v>
      </c>
      <c r="D63" s="7" t="s">
        <v>95</v>
      </c>
      <c r="E63" s="7" t="s">
        <v>116</v>
      </c>
      <c r="F63" s="7" t="s">
        <v>302</v>
      </c>
      <c r="G63" s="7" t="s">
        <v>303</v>
      </c>
      <c r="H63" s="7" t="s">
        <v>166</v>
      </c>
      <c r="I63" s="7">
        <v>1157</v>
      </c>
      <c r="J63" s="7">
        <v>392</v>
      </c>
      <c r="K63" s="7">
        <v>0</v>
      </c>
      <c r="L63" s="7">
        <v>0</v>
      </c>
      <c r="M63" s="7">
        <v>42</v>
      </c>
      <c r="N63" s="22">
        <v>1.2880000000000001E-4</v>
      </c>
    </row>
    <row r="64" spans="1:14">
      <c r="A64" s="7" t="s">
        <v>24</v>
      </c>
      <c r="B64" s="7">
        <v>45</v>
      </c>
      <c r="C64" s="7">
        <v>46</v>
      </c>
      <c r="D64" s="7" t="s">
        <v>95</v>
      </c>
      <c r="E64" s="7" t="s">
        <v>116</v>
      </c>
      <c r="F64" s="7" t="s">
        <v>302</v>
      </c>
      <c r="G64" s="7" t="s">
        <v>303</v>
      </c>
      <c r="H64" s="7" t="s">
        <v>167</v>
      </c>
      <c r="I64" s="7">
        <v>1957</v>
      </c>
      <c r="J64" s="7">
        <v>468</v>
      </c>
      <c r="K64" s="7">
        <v>0</v>
      </c>
      <c r="L64" s="7">
        <v>0</v>
      </c>
      <c r="M64" s="7">
        <v>42</v>
      </c>
      <c r="N64" s="22">
        <v>1.44E-4</v>
      </c>
    </row>
    <row r="65" spans="1:14">
      <c r="A65" s="7" t="s">
        <v>24</v>
      </c>
      <c r="B65" s="7">
        <v>46</v>
      </c>
      <c r="C65" s="7">
        <v>47</v>
      </c>
      <c r="D65" s="7" t="s">
        <v>95</v>
      </c>
      <c r="E65" s="7" t="s">
        <v>116</v>
      </c>
      <c r="F65" s="7" t="s">
        <v>302</v>
      </c>
      <c r="G65" s="7" t="s">
        <v>303</v>
      </c>
      <c r="H65" s="7" t="s">
        <v>168</v>
      </c>
      <c r="I65" s="7">
        <v>1172</v>
      </c>
      <c r="J65" s="7">
        <v>417</v>
      </c>
      <c r="K65" s="7">
        <v>0</v>
      </c>
      <c r="L65" s="7">
        <v>0</v>
      </c>
      <c r="M65" s="7">
        <v>42</v>
      </c>
      <c r="N65" s="22">
        <v>1.338E-4</v>
      </c>
    </row>
    <row r="66" spans="1:14">
      <c r="A66" s="7" t="s">
        <v>24</v>
      </c>
      <c r="B66" s="7">
        <v>47</v>
      </c>
      <c r="C66" s="7">
        <v>48</v>
      </c>
      <c r="D66" s="7" t="s">
        <v>95</v>
      </c>
      <c r="E66" s="7" t="s">
        <v>116</v>
      </c>
      <c r="F66" s="7" t="s">
        <v>302</v>
      </c>
      <c r="G66" s="7" t="s">
        <v>303</v>
      </c>
      <c r="H66" s="7" t="s">
        <v>169</v>
      </c>
      <c r="I66" s="7">
        <v>1007</v>
      </c>
      <c r="J66" s="7">
        <v>384</v>
      </c>
      <c r="K66" s="7">
        <v>0</v>
      </c>
      <c r="L66" s="7">
        <v>0</v>
      </c>
      <c r="M66" s="7">
        <v>42</v>
      </c>
      <c r="N66" s="22">
        <v>1.2720000000000003E-4</v>
      </c>
    </row>
    <row r="67" spans="1:14">
      <c r="A67" s="7" t="s">
        <v>24</v>
      </c>
      <c r="B67" s="7">
        <v>48</v>
      </c>
      <c r="C67" s="7">
        <v>49</v>
      </c>
      <c r="D67" s="7" t="s">
        <v>95</v>
      </c>
      <c r="E67" s="7" t="s">
        <v>116</v>
      </c>
      <c r="F67" s="7" t="s">
        <v>302</v>
      </c>
      <c r="G67" s="7" t="s">
        <v>303</v>
      </c>
      <c r="H67" s="7" t="s">
        <v>170</v>
      </c>
      <c r="I67" s="7">
        <v>1108</v>
      </c>
      <c r="J67" s="7">
        <v>393</v>
      </c>
      <c r="K67" s="7">
        <v>0</v>
      </c>
      <c r="L67" s="7">
        <v>0</v>
      </c>
      <c r="M67" s="7">
        <v>42</v>
      </c>
      <c r="N67" s="22">
        <v>1.2899999999999999E-4</v>
      </c>
    </row>
    <row r="68" spans="1:14">
      <c r="A68" s="7" t="s">
        <v>24</v>
      </c>
      <c r="B68" s="7">
        <v>49</v>
      </c>
      <c r="C68" s="7">
        <v>50</v>
      </c>
      <c r="D68" s="7" t="s">
        <v>95</v>
      </c>
      <c r="E68" s="7" t="s">
        <v>116</v>
      </c>
      <c r="F68" s="7" t="s">
        <v>302</v>
      </c>
      <c r="G68" s="7" t="s">
        <v>303</v>
      </c>
      <c r="H68" s="7" t="s">
        <v>171</v>
      </c>
      <c r="I68" s="7">
        <v>1135</v>
      </c>
      <c r="J68" s="7">
        <v>436</v>
      </c>
      <c r="K68" s="7">
        <v>0</v>
      </c>
      <c r="L68" s="7">
        <v>0</v>
      </c>
      <c r="M68" s="7">
        <v>42</v>
      </c>
      <c r="N68" s="22">
        <v>1.3759999999999998E-4</v>
      </c>
    </row>
    <row r="69" spans="1:14">
      <c r="A69" s="7" t="s">
        <v>24</v>
      </c>
      <c r="B69" s="7">
        <v>50</v>
      </c>
      <c r="C69" s="7">
        <v>51</v>
      </c>
      <c r="D69" s="7" t="s">
        <v>95</v>
      </c>
      <c r="E69" s="7" t="s">
        <v>116</v>
      </c>
      <c r="F69" s="7" t="s">
        <v>302</v>
      </c>
      <c r="G69" s="7" t="s">
        <v>303</v>
      </c>
      <c r="H69" s="7" t="s">
        <v>172</v>
      </c>
      <c r="I69" s="7">
        <v>1076</v>
      </c>
      <c r="J69" s="7">
        <v>397</v>
      </c>
      <c r="K69" s="7">
        <v>0</v>
      </c>
      <c r="L69" s="7">
        <v>0</v>
      </c>
      <c r="M69" s="7">
        <v>42</v>
      </c>
      <c r="N69" s="22">
        <v>1.2980000000000001E-4</v>
      </c>
    </row>
    <row r="70" spans="1:14">
      <c r="A70" s="7" t="s">
        <v>24</v>
      </c>
      <c r="B70" s="7">
        <v>51</v>
      </c>
      <c r="C70" s="7">
        <v>52</v>
      </c>
      <c r="D70" s="7" t="s">
        <v>95</v>
      </c>
      <c r="E70" s="7" t="s">
        <v>116</v>
      </c>
      <c r="F70" s="7" t="s">
        <v>302</v>
      </c>
      <c r="G70" s="7" t="s">
        <v>303</v>
      </c>
      <c r="H70" s="7" t="s">
        <v>173</v>
      </c>
      <c r="I70" s="7">
        <v>1117</v>
      </c>
      <c r="J70" s="7">
        <v>428</v>
      </c>
      <c r="K70" s="7">
        <v>0</v>
      </c>
      <c r="L70" s="7">
        <v>0</v>
      </c>
      <c r="M70" s="7">
        <v>42</v>
      </c>
      <c r="N70" s="22">
        <v>1.36E-4</v>
      </c>
    </row>
    <row r="71" spans="1:14">
      <c r="A71" s="7" t="s">
        <v>24</v>
      </c>
      <c r="B71" s="7">
        <v>52</v>
      </c>
      <c r="C71" s="7">
        <v>53</v>
      </c>
      <c r="D71" s="7" t="s">
        <v>95</v>
      </c>
      <c r="E71" s="7" t="s">
        <v>116</v>
      </c>
      <c r="F71" s="7" t="s">
        <v>302</v>
      </c>
      <c r="G71" s="7" t="s">
        <v>303</v>
      </c>
      <c r="H71" s="7" t="s">
        <v>174</v>
      </c>
      <c r="I71" s="7">
        <v>1116</v>
      </c>
      <c r="J71" s="7">
        <v>446</v>
      </c>
      <c r="K71" s="7">
        <v>0</v>
      </c>
      <c r="L71" s="7">
        <v>0</v>
      </c>
      <c r="M71" s="7">
        <v>42</v>
      </c>
      <c r="N71" s="22">
        <v>1.3960000000000001E-4</v>
      </c>
    </row>
    <row r="72" spans="1:14">
      <c r="A72" s="7" t="s">
        <v>24</v>
      </c>
      <c r="B72" s="7">
        <v>53</v>
      </c>
      <c r="C72" s="7">
        <v>54</v>
      </c>
      <c r="D72" s="7" t="s">
        <v>95</v>
      </c>
      <c r="E72" s="7" t="s">
        <v>116</v>
      </c>
      <c r="F72" s="7" t="s">
        <v>302</v>
      </c>
      <c r="G72" s="7" t="s">
        <v>303</v>
      </c>
      <c r="H72" s="7" t="s">
        <v>175</v>
      </c>
      <c r="I72" s="7">
        <v>1280</v>
      </c>
      <c r="J72" s="7">
        <v>396</v>
      </c>
      <c r="K72" s="7">
        <v>0</v>
      </c>
      <c r="L72" s="7">
        <v>0</v>
      </c>
      <c r="M72" s="7">
        <v>42</v>
      </c>
      <c r="N72" s="22">
        <v>1.2960000000000001E-4</v>
      </c>
    </row>
    <row r="73" spans="1:14">
      <c r="A73" s="7" t="s">
        <v>24</v>
      </c>
      <c r="B73" s="7">
        <v>54</v>
      </c>
      <c r="C73" s="7">
        <v>55</v>
      </c>
      <c r="D73" s="7" t="s">
        <v>95</v>
      </c>
      <c r="E73" s="7" t="s">
        <v>116</v>
      </c>
      <c r="F73" s="7" t="s">
        <v>302</v>
      </c>
      <c r="G73" s="7" t="s">
        <v>303</v>
      </c>
      <c r="H73" s="7" t="s">
        <v>176</v>
      </c>
      <c r="I73" s="7">
        <v>1098</v>
      </c>
      <c r="J73" s="7">
        <v>400</v>
      </c>
      <c r="K73" s="7">
        <v>0</v>
      </c>
      <c r="L73" s="7">
        <v>0</v>
      </c>
      <c r="M73" s="7">
        <v>42</v>
      </c>
      <c r="N73" s="22">
        <v>1.304E-4</v>
      </c>
    </row>
    <row r="74" spans="1:14">
      <c r="A74" s="7" t="s">
        <v>24</v>
      </c>
      <c r="B74" s="7">
        <v>55</v>
      </c>
      <c r="C74" s="7">
        <v>56</v>
      </c>
      <c r="D74" s="7" t="s">
        <v>95</v>
      </c>
      <c r="E74" s="7" t="s">
        <v>116</v>
      </c>
      <c r="F74" s="7" t="s">
        <v>302</v>
      </c>
      <c r="G74" s="7" t="s">
        <v>303</v>
      </c>
      <c r="H74" s="7" t="s">
        <v>177</v>
      </c>
      <c r="I74" s="7">
        <v>1129</v>
      </c>
      <c r="J74" s="7">
        <v>380</v>
      </c>
      <c r="K74" s="7">
        <v>0</v>
      </c>
      <c r="L74" s="7">
        <v>0</v>
      </c>
      <c r="M74" s="7">
        <v>42</v>
      </c>
      <c r="N74" s="22">
        <v>1.2640000000000001E-4</v>
      </c>
    </row>
    <row r="75" spans="1:14">
      <c r="A75" s="7" t="s">
        <v>24</v>
      </c>
      <c r="B75" s="7">
        <v>56</v>
      </c>
      <c r="C75" s="7">
        <v>57</v>
      </c>
      <c r="D75" s="7" t="s">
        <v>95</v>
      </c>
      <c r="E75" s="7" t="s">
        <v>116</v>
      </c>
      <c r="F75" s="7" t="s">
        <v>302</v>
      </c>
      <c r="G75" s="7" t="s">
        <v>303</v>
      </c>
      <c r="H75" s="7" t="s">
        <v>178</v>
      </c>
      <c r="I75" s="7">
        <v>1051</v>
      </c>
      <c r="J75" s="7">
        <v>418</v>
      </c>
      <c r="K75" s="7">
        <v>0</v>
      </c>
      <c r="L75" s="7">
        <v>0</v>
      </c>
      <c r="M75" s="7">
        <v>42</v>
      </c>
      <c r="N75" s="22">
        <v>1.34E-4</v>
      </c>
    </row>
    <row r="76" spans="1:14">
      <c r="A76" s="7" t="s">
        <v>24</v>
      </c>
      <c r="B76" s="7">
        <v>57</v>
      </c>
      <c r="C76" s="7">
        <v>58</v>
      </c>
      <c r="D76" s="7" t="s">
        <v>95</v>
      </c>
      <c r="E76" s="7" t="s">
        <v>116</v>
      </c>
      <c r="F76" s="7" t="s">
        <v>302</v>
      </c>
      <c r="G76" s="7" t="s">
        <v>303</v>
      </c>
      <c r="H76" s="7" t="s">
        <v>179</v>
      </c>
      <c r="I76" s="7">
        <v>1636</v>
      </c>
      <c r="J76" s="7">
        <v>429</v>
      </c>
      <c r="K76" s="7">
        <v>0</v>
      </c>
      <c r="L76" s="7">
        <v>0</v>
      </c>
      <c r="M76" s="7">
        <v>42</v>
      </c>
      <c r="N76" s="22">
        <v>1.362E-4</v>
      </c>
    </row>
    <row r="77" spans="1:14">
      <c r="A77" s="7" t="s">
        <v>24</v>
      </c>
      <c r="B77" s="7">
        <v>58</v>
      </c>
      <c r="C77" s="7">
        <v>59</v>
      </c>
      <c r="D77" s="7" t="s">
        <v>95</v>
      </c>
      <c r="E77" s="7" t="s">
        <v>116</v>
      </c>
      <c r="F77" s="7" t="s">
        <v>302</v>
      </c>
      <c r="G77" s="7" t="s">
        <v>303</v>
      </c>
      <c r="H77" s="7" t="s">
        <v>180</v>
      </c>
      <c r="I77" s="7">
        <v>1141</v>
      </c>
      <c r="J77" s="7">
        <v>385</v>
      </c>
      <c r="K77" s="7">
        <v>0</v>
      </c>
      <c r="L77" s="7">
        <v>0</v>
      </c>
      <c r="M77" s="7">
        <v>42</v>
      </c>
      <c r="N77" s="22">
        <v>1.2740000000000001E-4</v>
      </c>
    </row>
    <row r="78" spans="1:14">
      <c r="A78" s="7" t="s">
        <v>24</v>
      </c>
      <c r="B78" s="7">
        <v>59</v>
      </c>
      <c r="C78" s="7">
        <v>60</v>
      </c>
      <c r="D78" s="7" t="s">
        <v>95</v>
      </c>
      <c r="E78" s="7" t="s">
        <v>116</v>
      </c>
      <c r="F78" s="7" t="s">
        <v>302</v>
      </c>
      <c r="G78" s="7" t="s">
        <v>303</v>
      </c>
      <c r="H78" s="7" t="s">
        <v>181</v>
      </c>
      <c r="I78" s="7">
        <v>1226</v>
      </c>
      <c r="J78" s="7">
        <v>392</v>
      </c>
      <c r="K78" s="7">
        <v>0</v>
      </c>
      <c r="L78" s="7">
        <v>0</v>
      </c>
      <c r="M78" s="7">
        <v>42</v>
      </c>
      <c r="N78" s="22">
        <v>1.2880000000000001E-4</v>
      </c>
    </row>
    <row r="79" spans="1:14">
      <c r="A79" s="7" t="s">
        <v>24</v>
      </c>
      <c r="B79" s="7">
        <v>60</v>
      </c>
      <c r="C79" s="7">
        <v>61</v>
      </c>
      <c r="D79" s="7" t="s">
        <v>95</v>
      </c>
      <c r="E79" s="7" t="s">
        <v>116</v>
      </c>
      <c r="F79" s="7" t="s">
        <v>302</v>
      </c>
      <c r="G79" s="7" t="s">
        <v>303</v>
      </c>
      <c r="H79" s="7" t="s">
        <v>182</v>
      </c>
      <c r="I79" s="7">
        <v>1255</v>
      </c>
      <c r="J79" s="7">
        <v>401</v>
      </c>
      <c r="K79" s="7">
        <v>0</v>
      </c>
      <c r="L79" s="7">
        <v>0</v>
      </c>
      <c r="M79" s="7">
        <v>42</v>
      </c>
      <c r="N79" s="22">
        <v>1.306E-4</v>
      </c>
    </row>
    <row r="80" spans="1:14">
      <c r="A80" s="7" t="s">
        <v>24</v>
      </c>
      <c r="B80" s="7">
        <v>61</v>
      </c>
      <c r="C80" s="7">
        <v>62</v>
      </c>
      <c r="D80" s="7" t="s">
        <v>95</v>
      </c>
      <c r="E80" s="7" t="s">
        <v>116</v>
      </c>
      <c r="F80" s="7" t="s">
        <v>302</v>
      </c>
      <c r="G80" s="7" t="s">
        <v>303</v>
      </c>
      <c r="H80" s="7" t="s">
        <v>183</v>
      </c>
      <c r="I80" s="7">
        <v>1162</v>
      </c>
      <c r="J80" s="7">
        <v>397</v>
      </c>
      <c r="K80" s="7">
        <v>0</v>
      </c>
      <c r="L80" s="7">
        <v>0</v>
      </c>
      <c r="M80" s="7">
        <v>42</v>
      </c>
      <c r="N80" s="22">
        <v>1.2980000000000001E-4</v>
      </c>
    </row>
    <row r="81" spans="1:14">
      <c r="A81" s="7" t="s">
        <v>45</v>
      </c>
      <c r="B81" s="7">
        <v>62</v>
      </c>
      <c r="C81" s="7">
        <v>63</v>
      </c>
      <c r="D81" s="7" t="s">
        <v>95</v>
      </c>
      <c r="E81" s="7" t="s">
        <v>115</v>
      </c>
      <c r="F81" s="7" t="s">
        <v>302</v>
      </c>
      <c r="G81" s="7" t="s">
        <v>303</v>
      </c>
      <c r="H81" s="7" t="s">
        <v>184</v>
      </c>
      <c r="I81" s="7">
        <v>1421</v>
      </c>
      <c r="J81" s="7">
        <v>567</v>
      </c>
      <c r="K81" s="7">
        <v>0</v>
      </c>
      <c r="L81" s="7">
        <v>0</v>
      </c>
      <c r="M81" s="7">
        <v>43</v>
      </c>
      <c r="N81" s="22">
        <v>1.65E-4</v>
      </c>
    </row>
    <row r="82" spans="1:14">
      <c r="A82" s="7" t="s">
        <v>24</v>
      </c>
      <c r="B82" s="7">
        <v>62</v>
      </c>
      <c r="C82" s="7">
        <v>63</v>
      </c>
      <c r="D82" s="7" t="s">
        <v>95</v>
      </c>
      <c r="E82" s="7" t="s">
        <v>116</v>
      </c>
      <c r="F82" s="7" t="s">
        <v>302</v>
      </c>
      <c r="G82" s="7" t="s">
        <v>303</v>
      </c>
      <c r="H82" s="7" t="s">
        <v>184</v>
      </c>
      <c r="I82" s="7">
        <v>5129</v>
      </c>
      <c r="J82" s="7">
        <v>439</v>
      </c>
      <c r="K82" s="7">
        <v>0</v>
      </c>
      <c r="L82" s="7">
        <v>0</v>
      </c>
      <c r="M82" s="7">
        <v>42</v>
      </c>
      <c r="N82" s="22">
        <v>1.3820000000000003E-4</v>
      </c>
    </row>
    <row r="83" spans="1:14">
      <c r="A83" s="7" t="s">
        <v>45</v>
      </c>
      <c r="B83" s="7">
        <v>63</v>
      </c>
      <c r="C83" s="7">
        <v>64</v>
      </c>
      <c r="D83" s="7" t="s">
        <v>95</v>
      </c>
      <c r="E83" s="7" t="s">
        <v>115</v>
      </c>
      <c r="F83" s="7" t="s">
        <v>302</v>
      </c>
      <c r="G83" s="7" t="s">
        <v>303</v>
      </c>
      <c r="H83" s="7" t="s">
        <v>186</v>
      </c>
      <c r="I83" s="7">
        <v>1947</v>
      </c>
      <c r="J83" s="7">
        <v>686</v>
      </c>
      <c r="K83" s="7">
        <v>0</v>
      </c>
      <c r="L83" s="7">
        <v>0</v>
      </c>
      <c r="M83" s="7">
        <v>43</v>
      </c>
      <c r="N83" s="22">
        <v>1.8880000000000001E-4</v>
      </c>
    </row>
    <row r="84" spans="1:14">
      <c r="A84" s="7" t="s">
        <v>24</v>
      </c>
      <c r="B84" s="7">
        <v>63</v>
      </c>
      <c r="C84" s="7">
        <v>64</v>
      </c>
      <c r="D84" s="7" t="s">
        <v>95</v>
      </c>
      <c r="E84" s="7" t="s">
        <v>116</v>
      </c>
      <c r="F84" s="7" t="s">
        <v>302</v>
      </c>
      <c r="G84" s="7" t="s">
        <v>303</v>
      </c>
      <c r="H84" s="7" t="s">
        <v>186</v>
      </c>
      <c r="I84" s="7">
        <v>2044</v>
      </c>
      <c r="J84" s="7">
        <v>511</v>
      </c>
      <c r="K84" s="7">
        <v>0</v>
      </c>
      <c r="L84" s="7">
        <v>0</v>
      </c>
      <c r="M84" s="7">
        <v>42</v>
      </c>
      <c r="N84" s="22">
        <v>1.526E-4</v>
      </c>
    </row>
    <row r="85" spans="1:14">
      <c r="A85" s="7" t="s">
        <v>24</v>
      </c>
      <c r="B85" s="7">
        <v>64</v>
      </c>
      <c r="C85" s="7">
        <v>65</v>
      </c>
      <c r="D85" s="7" t="s">
        <v>95</v>
      </c>
      <c r="E85" s="7" t="s">
        <v>116</v>
      </c>
      <c r="F85" s="7" t="s">
        <v>302</v>
      </c>
      <c r="G85" s="7" t="s">
        <v>303</v>
      </c>
      <c r="H85" s="7" t="s">
        <v>188</v>
      </c>
      <c r="I85" s="7">
        <v>1295</v>
      </c>
      <c r="J85" s="7">
        <v>389</v>
      </c>
      <c r="K85" s="7">
        <v>0</v>
      </c>
      <c r="L85" s="7">
        <v>0</v>
      </c>
      <c r="M85" s="7">
        <v>42</v>
      </c>
      <c r="N85" s="22">
        <v>1.2820000000000003E-4</v>
      </c>
    </row>
    <row r="86" spans="1:14">
      <c r="A86" s="7" t="s">
        <v>45</v>
      </c>
      <c r="B86" s="7">
        <v>65</v>
      </c>
      <c r="C86" s="7">
        <v>66</v>
      </c>
      <c r="D86" s="7" t="s">
        <v>95</v>
      </c>
      <c r="E86" s="7" t="s">
        <v>115</v>
      </c>
      <c r="F86" s="7" t="s">
        <v>302</v>
      </c>
      <c r="G86" s="7" t="s">
        <v>303</v>
      </c>
      <c r="H86" s="7" t="s">
        <v>189</v>
      </c>
      <c r="I86" s="7">
        <v>1420</v>
      </c>
      <c r="J86" s="7">
        <v>814</v>
      </c>
      <c r="K86" s="7">
        <v>0</v>
      </c>
      <c r="L86" s="7">
        <v>0</v>
      </c>
      <c r="M86" s="7">
        <v>43</v>
      </c>
      <c r="N86" s="22">
        <v>2.1440000000000001E-4</v>
      </c>
    </row>
    <row r="87" spans="1:14">
      <c r="A87" s="7" t="s">
        <v>24</v>
      </c>
      <c r="B87" s="7">
        <v>65</v>
      </c>
      <c r="C87" s="7">
        <v>66</v>
      </c>
      <c r="D87" s="7" t="s">
        <v>95</v>
      </c>
      <c r="E87" s="7" t="s">
        <v>116</v>
      </c>
      <c r="F87" s="7" t="s">
        <v>302</v>
      </c>
      <c r="G87" s="7" t="s">
        <v>303</v>
      </c>
      <c r="H87" s="7" t="s">
        <v>189</v>
      </c>
      <c r="I87" s="7">
        <v>1228</v>
      </c>
      <c r="J87" s="7">
        <v>640</v>
      </c>
      <c r="K87" s="7">
        <v>0</v>
      </c>
      <c r="L87" s="7">
        <v>0</v>
      </c>
      <c r="M87" s="7">
        <v>42</v>
      </c>
      <c r="N87" s="22">
        <v>1.784E-4</v>
      </c>
    </row>
    <row r="88" spans="1:14">
      <c r="A88" s="7" t="s">
        <v>45</v>
      </c>
      <c r="B88" s="7">
        <v>66</v>
      </c>
      <c r="C88" s="7">
        <v>67</v>
      </c>
      <c r="D88" s="7" t="s">
        <v>95</v>
      </c>
      <c r="E88" s="7" t="s">
        <v>115</v>
      </c>
      <c r="F88" s="7" t="s">
        <v>302</v>
      </c>
      <c r="G88" s="7" t="s">
        <v>303</v>
      </c>
      <c r="H88" s="7" t="s">
        <v>191</v>
      </c>
      <c r="I88" s="7">
        <v>2400</v>
      </c>
      <c r="J88" s="7">
        <v>841</v>
      </c>
      <c r="K88" s="7">
        <v>0</v>
      </c>
      <c r="L88" s="7">
        <v>0</v>
      </c>
      <c r="M88" s="7">
        <v>43</v>
      </c>
      <c r="N88" s="22">
        <v>2.198E-4</v>
      </c>
    </row>
    <row r="89" spans="1:14">
      <c r="A89" s="7" t="s">
        <v>24</v>
      </c>
      <c r="B89" s="7">
        <v>66</v>
      </c>
      <c r="C89" s="7">
        <v>67</v>
      </c>
      <c r="D89" s="7" t="s">
        <v>95</v>
      </c>
      <c r="E89" s="7" t="s">
        <v>116</v>
      </c>
      <c r="F89" s="7" t="s">
        <v>302</v>
      </c>
      <c r="G89" s="7" t="s">
        <v>303</v>
      </c>
      <c r="H89" s="7" t="s">
        <v>191</v>
      </c>
      <c r="I89" s="7">
        <v>1606</v>
      </c>
      <c r="J89" s="7">
        <v>669</v>
      </c>
      <c r="K89" s="7">
        <v>0</v>
      </c>
      <c r="L89" s="7">
        <v>0</v>
      </c>
      <c r="M89" s="7">
        <v>42</v>
      </c>
      <c r="N89" s="22">
        <v>1.8420000000000001E-4</v>
      </c>
    </row>
    <row r="90" spans="1:14">
      <c r="A90" s="7" t="s">
        <v>45</v>
      </c>
      <c r="B90" s="7">
        <v>67</v>
      </c>
      <c r="C90" s="7">
        <v>68</v>
      </c>
      <c r="D90" s="7" t="s">
        <v>95</v>
      </c>
      <c r="E90" s="7" t="s">
        <v>115</v>
      </c>
      <c r="F90" s="7" t="s">
        <v>302</v>
      </c>
      <c r="G90" s="7" t="s">
        <v>303</v>
      </c>
      <c r="H90" s="7" t="s">
        <v>193</v>
      </c>
      <c r="I90" s="7">
        <v>1299</v>
      </c>
      <c r="J90" s="7">
        <v>786</v>
      </c>
      <c r="K90" s="7">
        <v>0</v>
      </c>
      <c r="L90" s="7">
        <v>0</v>
      </c>
      <c r="M90" s="7">
        <v>43</v>
      </c>
      <c r="N90" s="22">
        <v>2.0880000000000001E-4</v>
      </c>
    </row>
    <row r="91" spans="1:14">
      <c r="A91" s="7" t="s">
        <v>24</v>
      </c>
      <c r="B91" s="7">
        <v>67</v>
      </c>
      <c r="C91" s="7">
        <v>68</v>
      </c>
      <c r="D91" s="7" t="s">
        <v>95</v>
      </c>
      <c r="E91" s="7" t="s">
        <v>116</v>
      </c>
      <c r="F91" s="7" t="s">
        <v>302</v>
      </c>
      <c r="G91" s="7" t="s">
        <v>303</v>
      </c>
      <c r="H91" s="7" t="s">
        <v>193</v>
      </c>
      <c r="I91" s="7">
        <v>1166</v>
      </c>
      <c r="J91" s="7">
        <v>612</v>
      </c>
      <c r="K91" s="7">
        <v>0</v>
      </c>
      <c r="L91" s="7">
        <v>0</v>
      </c>
      <c r="M91" s="7">
        <v>42</v>
      </c>
      <c r="N91" s="22">
        <v>1.728E-4</v>
      </c>
    </row>
    <row r="92" spans="1:14">
      <c r="A92" s="7" t="s">
        <v>45</v>
      </c>
      <c r="B92" s="7">
        <v>68</v>
      </c>
      <c r="C92" s="7">
        <v>69</v>
      </c>
      <c r="D92" s="7" t="s">
        <v>95</v>
      </c>
      <c r="E92" s="7" t="s">
        <v>115</v>
      </c>
      <c r="F92" s="7" t="s">
        <v>302</v>
      </c>
      <c r="G92" s="7" t="s">
        <v>303</v>
      </c>
      <c r="H92" s="7" t="s">
        <v>195</v>
      </c>
      <c r="I92" s="7">
        <v>1064</v>
      </c>
      <c r="J92" s="7">
        <v>1135</v>
      </c>
      <c r="K92" s="7">
        <v>0</v>
      </c>
      <c r="L92" s="7">
        <v>1132</v>
      </c>
      <c r="M92" s="7">
        <v>43</v>
      </c>
      <c r="N92" s="22">
        <v>3.3520000000000007E-4</v>
      </c>
    </row>
    <row r="93" spans="1:14">
      <c r="A93" s="7" t="s">
        <v>24</v>
      </c>
      <c r="B93" s="7">
        <v>68</v>
      </c>
      <c r="C93" s="7">
        <v>69</v>
      </c>
      <c r="D93" s="7" t="s">
        <v>95</v>
      </c>
      <c r="E93" s="7" t="s">
        <v>116</v>
      </c>
      <c r="F93" s="7" t="s">
        <v>302</v>
      </c>
      <c r="G93" s="7" t="s">
        <v>303</v>
      </c>
      <c r="H93" s="7" t="s">
        <v>195</v>
      </c>
      <c r="I93" s="7">
        <v>1272</v>
      </c>
      <c r="J93" s="7">
        <v>1022</v>
      </c>
      <c r="K93" s="7">
        <v>0</v>
      </c>
      <c r="L93" s="7">
        <v>0</v>
      </c>
      <c r="M93" s="7">
        <v>42</v>
      </c>
      <c r="N93" s="22">
        <v>2.5480000000000001E-4</v>
      </c>
    </row>
    <row r="94" spans="1:14">
      <c r="A94" s="7" t="s">
        <v>45</v>
      </c>
      <c r="B94" s="7">
        <v>69</v>
      </c>
      <c r="C94" s="7">
        <v>70</v>
      </c>
      <c r="D94" s="7" t="s">
        <v>95</v>
      </c>
      <c r="E94" s="7" t="s">
        <v>115</v>
      </c>
      <c r="F94" s="7" t="s">
        <v>302</v>
      </c>
      <c r="G94" s="7" t="s">
        <v>304</v>
      </c>
      <c r="H94" s="7" t="s">
        <v>197</v>
      </c>
      <c r="I94" s="7">
        <v>1264</v>
      </c>
      <c r="J94" s="7">
        <v>1627</v>
      </c>
      <c r="K94" s="7">
        <v>0</v>
      </c>
      <c r="L94" s="7">
        <v>1624</v>
      </c>
      <c r="M94" s="7">
        <v>43</v>
      </c>
      <c r="N94" s="22">
        <v>4.5820000000000002E-4</v>
      </c>
    </row>
    <row r="95" spans="1:14">
      <c r="A95" s="7" t="s">
        <v>24</v>
      </c>
      <c r="B95" s="7">
        <v>69</v>
      </c>
      <c r="C95" s="7">
        <v>70</v>
      </c>
      <c r="D95" s="7" t="s">
        <v>95</v>
      </c>
      <c r="E95" s="7" t="s">
        <v>116</v>
      </c>
      <c r="F95" s="7" t="s">
        <v>302</v>
      </c>
      <c r="G95" s="7" t="s">
        <v>303</v>
      </c>
      <c r="H95" s="7" t="s">
        <v>197</v>
      </c>
      <c r="I95" s="7">
        <v>2128</v>
      </c>
      <c r="J95" s="7">
        <v>1328</v>
      </c>
      <c r="K95" s="7">
        <v>0</v>
      </c>
      <c r="L95" s="7">
        <v>1325</v>
      </c>
      <c r="M95" s="7">
        <v>42</v>
      </c>
      <c r="N95" s="22">
        <v>3.8224999999999999E-4</v>
      </c>
    </row>
    <row r="96" spans="1:14">
      <c r="A96" s="7" t="s">
        <v>45</v>
      </c>
      <c r="B96" s="7">
        <v>70</v>
      </c>
      <c r="C96" s="7">
        <v>71</v>
      </c>
      <c r="D96" s="7" t="s">
        <v>95</v>
      </c>
      <c r="E96" s="7" t="s">
        <v>115</v>
      </c>
      <c r="F96" s="7" t="s">
        <v>302</v>
      </c>
      <c r="G96" s="7" t="s">
        <v>303</v>
      </c>
      <c r="H96" s="7" t="s">
        <v>200</v>
      </c>
      <c r="I96" s="7">
        <v>1306</v>
      </c>
      <c r="J96" s="7">
        <v>889</v>
      </c>
      <c r="K96" s="7">
        <v>0</v>
      </c>
      <c r="L96" s="7">
        <v>0</v>
      </c>
      <c r="M96" s="7">
        <v>43</v>
      </c>
      <c r="N96" s="22">
        <v>2.2939999999999999E-4</v>
      </c>
    </row>
    <row r="97" spans="1:14">
      <c r="A97" s="7" t="s">
        <v>24</v>
      </c>
      <c r="B97" s="7">
        <v>70</v>
      </c>
      <c r="C97" s="7">
        <v>71</v>
      </c>
      <c r="D97" s="7" t="s">
        <v>95</v>
      </c>
      <c r="E97" s="7" t="s">
        <v>116</v>
      </c>
      <c r="F97" s="7" t="s">
        <v>302</v>
      </c>
      <c r="G97" s="7" t="s">
        <v>303</v>
      </c>
      <c r="H97" s="7" t="s">
        <v>200</v>
      </c>
      <c r="I97" s="7">
        <v>1801</v>
      </c>
      <c r="J97" s="7">
        <v>715</v>
      </c>
      <c r="K97" s="7">
        <v>0</v>
      </c>
      <c r="L97" s="7">
        <v>0</v>
      </c>
      <c r="M97" s="7">
        <v>42</v>
      </c>
      <c r="N97" s="22">
        <v>1.9340000000000001E-4</v>
      </c>
    </row>
    <row r="98" spans="1:14">
      <c r="A98" s="7" t="s">
        <v>45</v>
      </c>
      <c r="B98" s="7">
        <v>71</v>
      </c>
      <c r="C98" s="7">
        <v>72</v>
      </c>
      <c r="D98" s="7" t="s">
        <v>95</v>
      </c>
      <c r="E98" s="7" t="s">
        <v>115</v>
      </c>
      <c r="F98" s="7" t="s">
        <v>302</v>
      </c>
      <c r="G98" s="7" t="s">
        <v>303</v>
      </c>
      <c r="H98" s="7" t="s">
        <v>202</v>
      </c>
      <c r="I98" s="7">
        <v>1060</v>
      </c>
      <c r="J98" s="7">
        <v>1147</v>
      </c>
      <c r="K98" s="7">
        <v>0</v>
      </c>
      <c r="L98" s="7">
        <v>1144</v>
      </c>
      <c r="M98" s="7">
        <v>43</v>
      </c>
      <c r="N98" s="22">
        <v>3.3820000000000003E-4</v>
      </c>
    </row>
    <row r="99" spans="1:14">
      <c r="A99" s="7" t="s">
        <v>24</v>
      </c>
      <c r="B99" s="7">
        <v>71</v>
      </c>
      <c r="C99" s="7">
        <v>72</v>
      </c>
      <c r="D99" s="7" t="s">
        <v>95</v>
      </c>
      <c r="E99" s="7" t="s">
        <v>116</v>
      </c>
      <c r="F99" s="7" t="s">
        <v>302</v>
      </c>
      <c r="G99" s="7" t="s">
        <v>303</v>
      </c>
      <c r="H99" s="7" t="s">
        <v>202</v>
      </c>
      <c r="I99" s="7">
        <v>1030</v>
      </c>
      <c r="J99" s="7">
        <v>1034</v>
      </c>
      <c r="K99" s="7">
        <v>0</v>
      </c>
      <c r="L99" s="7">
        <v>1031</v>
      </c>
      <c r="M99" s="7">
        <v>42</v>
      </c>
      <c r="N99" s="22">
        <v>3.0875E-4</v>
      </c>
    </row>
    <row r="100" spans="1:14">
      <c r="A100" s="7" t="s">
        <v>45</v>
      </c>
      <c r="B100" s="7">
        <v>72</v>
      </c>
      <c r="C100" s="7">
        <v>73</v>
      </c>
      <c r="D100" s="7" t="s">
        <v>95</v>
      </c>
      <c r="E100" s="7" t="s">
        <v>115</v>
      </c>
      <c r="F100" s="7" t="s">
        <v>302</v>
      </c>
      <c r="G100" s="7" t="s">
        <v>303</v>
      </c>
      <c r="H100" s="7" t="s">
        <v>204</v>
      </c>
      <c r="I100" s="7">
        <v>8388</v>
      </c>
      <c r="J100" s="7">
        <v>1214</v>
      </c>
      <c r="K100" s="7">
        <v>0</v>
      </c>
      <c r="L100" s="7">
        <v>1211</v>
      </c>
      <c r="M100" s="7">
        <v>43</v>
      </c>
      <c r="N100" s="22">
        <v>3.5495000000000004E-4</v>
      </c>
    </row>
    <row r="101" spans="1:14">
      <c r="A101" s="7" t="s">
        <v>24</v>
      </c>
      <c r="B101" s="7">
        <v>72</v>
      </c>
      <c r="C101" s="7">
        <v>73</v>
      </c>
      <c r="D101" s="7" t="s">
        <v>95</v>
      </c>
      <c r="E101" s="7" t="s">
        <v>116</v>
      </c>
      <c r="F101" s="7" t="s">
        <v>302</v>
      </c>
      <c r="G101" s="7" t="s">
        <v>303</v>
      </c>
      <c r="H101" s="7" t="s">
        <v>204</v>
      </c>
      <c r="I101" s="7">
        <v>1966</v>
      </c>
      <c r="J101" s="7">
        <v>811</v>
      </c>
      <c r="K101" s="7">
        <v>0</v>
      </c>
      <c r="L101" s="7">
        <v>0</v>
      </c>
      <c r="M101" s="7">
        <v>42</v>
      </c>
      <c r="N101" s="22">
        <v>2.1260000000000002E-4</v>
      </c>
    </row>
    <row r="102" spans="1:14">
      <c r="A102" s="7" t="s">
        <v>45</v>
      </c>
      <c r="B102" s="7">
        <v>73</v>
      </c>
      <c r="C102" s="7">
        <v>74</v>
      </c>
      <c r="D102" s="7" t="s">
        <v>93</v>
      </c>
      <c r="E102" s="7" t="s">
        <v>115</v>
      </c>
      <c r="F102" s="7" t="s">
        <v>305</v>
      </c>
      <c r="G102" s="7" t="s">
        <v>306</v>
      </c>
      <c r="H102" s="7" t="s">
        <v>307</v>
      </c>
      <c r="I102" s="7">
        <v>1307</v>
      </c>
      <c r="J102" s="7">
        <v>1384</v>
      </c>
      <c r="K102" s="7">
        <v>0</v>
      </c>
      <c r="L102" s="7">
        <v>1381</v>
      </c>
      <c r="M102" s="7">
        <v>40</v>
      </c>
      <c r="N102" s="22">
        <v>3.9385000000000001E-4</v>
      </c>
    </row>
    <row r="103" spans="1:14">
      <c r="A103" s="7" t="s">
        <v>24</v>
      </c>
      <c r="B103" s="7">
        <v>73</v>
      </c>
      <c r="C103" s="7">
        <v>74</v>
      </c>
      <c r="D103" s="7" t="s">
        <v>93</v>
      </c>
      <c r="E103" s="7" t="s">
        <v>116</v>
      </c>
      <c r="F103" s="7" t="s">
        <v>305</v>
      </c>
      <c r="G103" s="7" t="s">
        <v>306</v>
      </c>
      <c r="H103" s="7" t="s">
        <v>307</v>
      </c>
      <c r="I103" s="7">
        <v>1623</v>
      </c>
      <c r="J103" s="7">
        <v>1037</v>
      </c>
      <c r="K103" s="7">
        <v>0</v>
      </c>
      <c r="L103" s="7">
        <v>1034</v>
      </c>
      <c r="M103" s="7">
        <v>39</v>
      </c>
      <c r="N103" s="22">
        <v>3.0590000000000001E-4</v>
      </c>
    </row>
    <row r="104" spans="1:14">
      <c r="A104" s="7" t="s">
        <v>45</v>
      </c>
      <c r="B104" s="7">
        <v>74</v>
      </c>
      <c r="C104" s="7">
        <v>75</v>
      </c>
      <c r="D104" s="7" t="s">
        <v>95</v>
      </c>
      <c r="E104" s="7" t="s">
        <v>115</v>
      </c>
      <c r="F104" s="7" t="s">
        <v>302</v>
      </c>
      <c r="G104" s="7" t="s">
        <v>303</v>
      </c>
      <c r="H104" s="7" t="s">
        <v>209</v>
      </c>
      <c r="I104" s="7">
        <v>1062</v>
      </c>
      <c r="J104" s="7">
        <v>1085</v>
      </c>
      <c r="K104" s="7">
        <v>0</v>
      </c>
      <c r="L104" s="7">
        <v>1082</v>
      </c>
      <c r="M104" s="7">
        <v>43</v>
      </c>
      <c r="N104" s="22">
        <v>3.2270000000000004E-4</v>
      </c>
    </row>
    <row r="105" spans="1:14">
      <c r="A105" s="7" t="s">
        <v>24</v>
      </c>
      <c r="B105" s="7">
        <v>74</v>
      </c>
      <c r="C105" s="7">
        <v>75</v>
      </c>
      <c r="D105" s="7" t="s">
        <v>95</v>
      </c>
      <c r="E105" s="7" t="s">
        <v>116</v>
      </c>
      <c r="F105" s="7" t="s">
        <v>302</v>
      </c>
      <c r="G105" s="7" t="s">
        <v>303</v>
      </c>
      <c r="H105" s="7" t="s">
        <v>209</v>
      </c>
      <c r="I105" s="7">
        <v>1162</v>
      </c>
      <c r="J105" s="7">
        <v>915</v>
      </c>
      <c r="K105" s="7">
        <v>0</v>
      </c>
      <c r="L105" s="7">
        <v>0</v>
      </c>
      <c r="M105" s="7">
        <v>42</v>
      </c>
      <c r="N105" s="22">
        <v>2.3340000000000001E-4</v>
      </c>
    </row>
    <row r="106" spans="1:14">
      <c r="A106" s="7" t="s">
        <v>45</v>
      </c>
      <c r="B106" s="7">
        <v>75</v>
      </c>
      <c r="C106" s="7">
        <v>76</v>
      </c>
      <c r="D106" s="7" t="s">
        <v>95</v>
      </c>
      <c r="E106" s="7" t="s">
        <v>115</v>
      </c>
      <c r="F106" s="7" t="s">
        <v>302</v>
      </c>
      <c r="G106" s="7" t="s">
        <v>303</v>
      </c>
      <c r="H106" s="7" t="s">
        <v>211</v>
      </c>
      <c r="I106" s="7">
        <v>1086</v>
      </c>
      <c r="J106" s="7">
        <v>1254</v>
      </c>
      <c r="K106" s="7">
        <v>0</v>
      </c>
      <c r="L106" s="7">
        <v>1251</v>
      </c>
      <c r="M106" s="7">
        <v>43</v>
      </c>
      <c r="N106" s="22">
        <v>3.6495000000000006E-4</v>
      </c>
    </row>
    <row r="107" spans="1:14">
      <c r="A107" s="7" t="s">
        <v>24</v>
      </c>
      <c r="B107" s="7">
        <v>75</v>
      </c>
      <c r="C107" s="7">
        <v>76</v>
      </c>
      <c r="D107" s="7" t="s">
        <v>95</v>
      </c>
      <c r="E107" s="7" t="s">
        <v>116</v>
      </c>
      <c r="F107" s="7" t="s">
        <v>302</v>
      </c>
      <c r="G107" s="7" t="s">
        <v>303</v>
      </c>
      <c r="H107" s="7" t="s">
        <v>211</v>
      </c>
      <c r="I107" s="7">
        <v>1131</v>
      </c>
      <c r="J107" s="7">
        <v>1049</v>
      </c>
      <c r="K107" s="7">
        <v>0</v>
      </c>
      <c r="L107" s="7">
        <v>1046</v>
      </c>
      <c r="M107" s="7">
        <v>42</v>
      </c>
      <c r="N107" s="22">
        <v>3.1250000000000001E-4</v>
      </c>
    </row>
    <row r="108" spans="1:14">
      <c r="A108" s="7" t="s">
        <v>45</v>
      </c>
      <c r="B108" s="7">
        <v>76</v>
      </c>
      <c r="C108" s="7">
        <v>77</v>
      </c>
      <c r="D108" s="7" t="s">
        <v>95</v>
      </c>
      <c r="E108" s="7" t="s">
        <v>115</v>
      </c>
      <c r="F108" s="7" t="s">
        <v>302</v>
      </c>
      <c r="G108" s="7" t="s">
        <v>303</v>
      </c>
      <c r="H108" s="7" t="s">
        <v>214</v>
      </c>
      <c r="I108" s="7">
        <v>1031</v>
      </c>
      <c r="J108" s="7">
        <v>749</v>
      </c>
      <c r="K108" s="7">
        <v>0</v>
      </c>
      <c r="L108" s="7">
        <v>0</v>
      </c>
      <c r="M108" s="7">
        <v>43</v>
      </c>
      <c r="N108" s="22">
        <v>2.0140000000000002E-4</v>
      </c>
    </row>
    <row r="109" spans="1:14">
      <c r="A109" s="7" t="s">
        <v>24</v>
      </c>
      <c r="B109" s="7">
        <v>76</v>
      </c>
      <c r="C109" s="7">
        <v>77</v>
      </c>
      <c r="D109" s="7" t="s">
        <v>95</v>
      </c>
      <c r="E109" s="7" t="s">
        <v>116</v>
      </c>
      <c r="F109" s="7" t="s">
        <v>302</v>
      </c>
      <c r="G109" s="7" t="s">
        <v>303</v>
      </c>
      <c r="H109" s="7" t="s">
        <v>214</v>
      </c>
      <c r="I109" s="7">
        <v>1335</v>
      </c>
      <c r="J109" s="7">
        <v>631</v>
      </c>
      <c r="K109" s="7">
        <v>0</v>
      </c>
      <c r="L109" s="7">
        <v>0</v>
      </c>
      <c r="M109" s="7">
        <v>42</v>
      </c>
      <c r="N109" s="22">
        <v>1.7659999999999998E-4</v>
      </c>
    </row>
    <row r="110" spans="1:14">
      <c r="A110" s="7" t="s">
        <v>45</v>
      </c>
      <c r="B110" s="7">
        <v>77</v>
      </c>
      <c r="C110" s="7">
        <v>78</v>
      </c>
      <c r="D110" s="7" t="s">
        <v>95</v>
      </c>
      <c r="E110" s="7" t="s">
        <v>115</v>
      </c>
      <c r="F110" s="7" t="s">
        <v>302</v>
      </c>
      <c r="G110" s="7" t="s">
        <v>303</v>
      </c>
      <c r="H110" s="7" t="s">
        <v>217</v>
      </c>
      <c r="I110" s="7">
        <v>1029</v>
      </c>
      <c r="J110" s="7">
        <v>1048</v>
      </c>
      <c r="K110" s="7">
        <v>0</v>
      </c>
      <c r="L110" s="7">
        <v>1045</v>
      </c>
      <c r="M110" s="7">
        <v>43</v>
      </c>
      <c r="N110" s="22">
        <v>3.1345000000000006E-4</v>
      </c>
    </row>
    <row r="111" spans="1:14">
      <c r="A111" s="7" t="s">
        <v>24</v>
      </c>
      <c r="B111" s="7">
        <v>77</v>
      </c>
      <c r="C111" s="7">
        <v>78</v>
      </c>
      <c r="D111" s="7" t="s">
        <v>95</v>
      </c>
      <c r="E111" s="7" t="s">
        <v>116</v>
      </c>
      <c r="F111" s="7" t="s">
        <v>302</v>
      </c>
      <c r="G111" s="7" t="s">
        <v>303</v>
      </c>
      <c r="H111" s="7" t="s">
        <v>217</v>
      </c>
      <c r="I111" s="7">
        <v>2023</v>
      </c>
      <c r="J111" s="7">
        <v>844</v>
      </c>
      <c r="K111" s="7">
        <v>0</v>
      </c>
      <c r="L111" s="7">
        <v>0</v>
      </c>
      <c r="M111" s="7">
        <v>42</v>
      </c>
      <c r="N111" s="22">
        <v>2.1920000000000002E-4</v>
      </c>
    </row>
    <row r="112" spans="1:14">
      <c r="A112" s="7" t="s">
        <v>45</v>
      </c>
      <c r="B112" s="7">
        <v>78</v>
      </c>
      <c r="C112" s="7">
        <v>79</v>
      </c>
      <c r="D112" s="7" t="s">
        <v>93</v>
      </c>
      <c r="E112" s="7" t="s">
        <v>115</v>
      </c>
      <c r="F112" s="7" t="s">
        <v>308</v>
      </c>
      <c r="G112" s="7" t="s">
        <v>309</v>
      </c>
      <c r="H112" s="7" t="s">
        <v>307</v>
      </c>
      <c r="I112" s="7">
        <v>1342</v>
      </c>
      <c r="J112" s="7">
        <v>992</v>
      </c>
      <c r="K112" s="7">
        <v>0</v>
      </c>
      <c r="L112" s="7">
        <v>0</v>
      </c>
      <c r="M112" s="7">
        <v>41</v>
      </c>
      <c r="N112" s="22">
        <v>2.476E-4</v>
      </c>
    </row>
    <row r="113" spans="1:14">
      <c r="A113" s="7" t="s">
        <v>24</v>
      </c>
      <c r="B113" s="7">
        <v>78</v>
      </c>
      <c r="C113" s="7">
        <v>79</v>
      </c>
      <c r="D113" s="7" t="s">
        <v>93</v>
      </c>
      <c r="E113" s="7" t="s">
        <v>116</v>
      </c>
      <c r="F113" s="7" t="s">
        <v>308</v>
      </c>
      <c r="G113" s="7" t="s">
        <v>309</v>
      </c>
      <c r="H113" s="7" t="s">
        <v>307</v>
      </c>
      <c r="I113" s="7">
        <v>1377</v>
      </c>
      <c r="J113" s="7">
        <v>808</v>
      </c>
      <c r="K113" s="7">
        <v>0</v>
      </c>
      <c r="L113" s="7">
        <v>0</v>
      </c>
      <c r="M113" s="7">
        <v>40</v>
      </c>
      <c r="N113" s="22">
        <v>2.0960000000000003E-4</v>
      </c>
    </row>
    <row r="114" spans="1:14">
      <c r="A114" s="7" t="s">
        <v>24</v>
      </c>
      <c r="B114" s="7">
        <v>79</v>
      </c>
      <c r="C114" s="7">
        <v>80</v>
      </c>
      <c r="D114" s="7" t="s">
        <v>95</v>
      </c>
      <c r="E114" s="7" t="s">
        <v>116</v>
      </c>
      <c r="F114" s="7" t="s">
        <v>302</v>
      </c>
      <c r="G114" s="7" t="s">
        <v>303</v>
      </c>
      <c r="H114" s="7" t="s">
        <v>221</v>
      </c>
      <c r="I114" s="7">
        <v>1690</v>
      </c>
      <c r="J114" s="7">
        <v>475</v>
      </c>
      <c r="K114" s="7">
        <v>0</v>
      </c>
      <c r="L114" s="7">
        <v>0</v>
      </c>
      <c r="M114" s="7">
        <v>42</v>
      </c>
      <c r="N114" s="22">
        <v>1.4540000000000001E-4</v>
      </c>
    </row>
    <row r="115" spans="1:14">
      <c r="A115" s="7" t="s">
        <v>45</v>
      </c>
      <c r="B115" s="7">
        <v>80</v>
      </c>
      <c r="C115" s="7">
        <v>81</v>
      </c>
      <c r="D115" s="7" t="s">
        <v>95</v>
      </c>
      <c r="E115" s="7" t="s">
        <v>115</v>
      </c>
      <c r="F115" s="7" t="s">
        <v>302</v>
      </c>
      <c r="G115" s="7" t="s">
        <v>303</v>
      </c>
      <c r="H115" s="7" t="s">
        <v>222</v>
      </c>
      <c r="I115" s="7">
        <v>992</v>
      </c>
      <c r="J115" s="7">
        <v>869</v>
      </c>
      <c r="K115" s="7">
        <v>0</v>
      </c>
      <c r="L115" s="7">
        <v>0</v>
      </c>
      <c r="M115" s="7">
        <v>43</v>
      </c>
      <c r="N115" s="22">
        <v>2.254E-4</v>
      </c>
    </row>
    <row r="116" spans="1:14">
      <c r="A116" s="7" t="s">
        <v>24</v>
      </c>
      <c r="B116" s="7">
        <v>80</v>
      </c>
      <c r="C116" s="7">
        <v>81</v>
      </c>
      <c r="D116" s="7" t="s">
        <v>95</v>
      </c>
      <c r="E116" s="7" t="s">
        <v>116</v>
      </c>
      <c r="F116" s="7" t="s">
        <v>302</v>
      </c>
      <c r="G116" s="7" t="s">
        <v>303</v>
      </c>
      <c r="H116" s="7" t="s">
        <v>222</v>
      </c>
      <c r="I116" s="7">
        <v>1317</v>
      </c>
      <c r="J116" s="7">
        <v>698</v>
      </c>
      <c r="K116" s="7">
        <v>0</v>
      </c>
      <c r="L116" s="7">
        <v>0</v>
      </c>
      <c r="M116" s="7">
        <v>42</v>
      </c>
      <c r="N116" s="22">
        <v>1.9000000000000001E-4</v>
      </c>
    </row>
    <row r="117" spans="1:14">
      <c r="A117" s="7" t="s">
        <v>45</v>
      </c>
      <c r="B117" s="7">
        <v>81</v>
      </c>
      <c r="C117" s="7">
        <v>82</v>
      </c>
      <c r="D117" s="7" t="s">
        <v>95</v>
      </c>
      <c r="E117" s="7" t="s">
        <v>115</v>
      </c>
      <c r="F117" s="7" t="s">
        <v>302</v>
      </c>
      <c r="G117" s="7" t="s">
        <v>303</v>
      </c>
      <c r="H117" s="7" t="s">
        <v>224</v>
      </c>
      <c r="I117" s="7">
        <v>1105</v>
      </c>
      <c r="J117" s="7">
        <v>822</v>
      </c>
      <c r="K117" s="7">
        <v>0</v>
      </c>
      <c r="L117" s="7">
        <v>0</v>
      </c>
      <c r="M117" s="7">
        <v>43</v>
      </c>
      <c r="N117" s="22">
        <v>2.1599999999999999E-4</v>
      </c>
    </row>
    <row r="118" spans="1:14">
      <c r="A118" s="7" t="s">
        <v>24</v>
      </c>
      <c r="B118" s="7">
        <v>81</v>
      </c>
      <c r="C118" s="7">
        <v>82</v>
      </c>
      <c r="D118" s="7" t="s">
        <v>95</v>
      </c>
      <c r="E118" s="7" t="s">
        <v>116</v>
      </c>
      <c r="F118" s="7" t="s">
        <v>302</v>
      </c>
      <c r="G118" s="7" t="s">
        <v>303</v>
      </c>
      <c r="H118" s="7" t="s">
        <v>224</v>
      </c>
      <c r="I118" s="7">
        <v>1708</v>
      </c>
      <c r="J118" s="7">
        <v>640</v>
      </c>
      <c r="K118" s="7">
        <v>0</v>
      </c>
      <c r="L118" s="7">
        <v>0</v>
      </c>
      <c r="M118" s="7">
        <v>42</v>
      </c>
      <c r="N118" s="22">
        <v>1.784E-4</v>
      </c>
    </row>
    <row r="119" spans="1:14">
      <c r="A119" s="7" t="s">
        <v>45</v>
      </c>
      <c r="B119" s="7">
        <v>82</v>
      </c>
      <c r="C119" s="7">
        <v>83</v>
      </c>
      <c r="D119" s="7" t="s">
        <v>95</v>
      </c>
      <c r="E119" s="7" t="s">
        <v>115</v>
      </c>
      <c r="F119" s="7" t="s">
        <v>302</v>
      </c>
      <c r="G119" s="7" t="s">
        <v>303</v>
      </c>
      <c r="H119" s="7" t="s">
        <v>226</v>
      </c>
      <c r="I119" s="7">
        <v>1139</v>
      </c>
      <c r="J119" s="7">
        <v>2782</v>
      </c>
      <c r="K119" s="7">
        <v>0</v>
      </c>
      <c r="L119" s="7">
        <v>2779</v>
      </c>
      <c r="M119" s="7">
        <v>43</v>
      </c>
      <c r="N119" s="22">
        <v>7.4695000000000002E-4</v>
      </c>
    </row>
    <row r="120" spans="1:14">
      <c r="A120" s="7" t="s">
        <v>24</v>
      </c>
      <c r="B120" s="7">
        <v>82</v>
      </c>
      <c r="C120" s="7">
        <v>83</v>
      </c>
      <c r="D120" s="7" t="s">
        <v>95</v>
      </c>
      <c r="E120" s="7" t="s">
        <v>116</v>
      </c>
      <c r="F120" s="7" t="s">
        <v>302</v>
      </c>
      <c r="G120" s="7" t="s">
        <v>303</v>
      </c>
      <c r="H120" s="7" t="s">
        <v>226</v>
      </c>
      <c r="I120" s="7">
        <v>1228</v>
      </c>
      <c r="J120" s="7">
        <v>2375</v>
      </c>
      <c r="K120" s="7">
        <v>0</v>
      </c>
      <c r="L120" s="7">
        <v>2372</v>
      </c>
      <c r="M120" s="7">
        <v>42</v>
      </c>
      <c r="N120" s="22">
        <v>6.4400000000000004E-4</v>
      </c>
    </row>
    <row r="121" spans="1:14">
      <c r="A121" s="7" t="s">
        <v>45</v>
      </c>
      <c r="B121" s="7">
        <v>83</v>
      </c>
      <c r="C121" s="7">
        <v>84</v>
      </c>
      <c r="D121" s="7" t="s">
        <v>95</v>
      </c>
      <c r="E121" s="7" t="s">
        <v>115</v>
      </c>
      <c r="F121" s="7" t="s">
        <v>302</v>
      </c>
      <c r="G121" s="7" t="s">
        <v>303</v>
      </c>
      <c r="H121" s="7" t="s">
        <v>229</v>
      </c>
      <c r="I121" s="7">
        <v>1049</v>
      </c>
      <c r="J121" s="7">
        <v>1004</v>
      </c>
      <c r="K121" s="7">
        <v>0</v>
      </c>
      <c r="L121" s="7">
        <v>0</v>
      </c>
      <c r="M121" s="7">
        <v>43</v>
      </c>
      <c r="N121" s="22">
        <v>2.5240000000000001E-4</v>
      </c>
    </row>
    <row r="122" spans="1:14">
      <c r="A122" s="7" t="s">
        <v>24</v>
      </c>
      <c r="B122" s="7">
        <v>83</v>
      </c>
      <c r="C122" s="7">
        <v>84</v>
      </c>
      <c r="D122" s="7" t="s">
        <v>95</v>
      </c>
      <c r="E122" s="7" t="s">
        <v>116</v>
      </c>
      <c r="F122" s="7" t="s">
        <v>302</v>
      </c>
      <c r="G122" s="7" t="s">
        <v>303</v>
      </c>
      <c r="H122" s="7" t="s">
        <v>229</v>
      </c>
      <c r="I122" s="7">
        <v>1423</v>
      </c>
      <c r="J122" s="7">
        <v>811</v>
      </c>
      <c r="K122" s="7">
        <v>0</v>
      </c>
      <c r="L122" s="7">
        <v>0</v>
      </c>
      <c r="M122" s="7">
        <v>42</v>
      </c>
      <c r="N122" s="22">
        <v>2.1260000000000002E-4</v>
      </c>
    </row>
    <row r="123" spans="1:14">
      <c r="A123" s="7" t="s">
        <v>45</v>
      </c>
      <c r="B123" s="7">
        <v>84</v>
      </c>
      <c r="C123" s="7">
        <v>85</v>
      </c>
      <c r="D123" s="7" t="s">
        <v>95</v>
      </c>
      <c r="E123" s="7" t="s">
        <v>115</v>
      </c>
      <c r="F123" s="7" t="s">
        <v>302</v>
      </c>
      <c r="G123" s="7" t="s">
        <v>303</v>
      </c>
      <c r="H123" s="7" t="s">
        <v>231</v>
      </c>
      <c r="I123" s="7">
        <v>1156</v>
      </c>
      <c r="J123" s="7">
        <v>1087</v>
      </c>
      <c r="K123" s="7">
        <v>0</v>
      </c>
      <c r="L123" s="7">
        <v>1084</v>
      </c>
      <c r="M123" s="7">
        <v>43</v>
      </c>
      <c r="N123" s="22">
        <v>3.2320000000000005E-4</v>
      </c>
    </row>
    <row r="124" spans="1:14">
      <c r="A124" s="7" t="s">
        <v>24</v>
      </c>
      <c r="B124" s="7">
        <v>84</v>
      </c>
      <c r="C124" s="7">
        <v>85</v>
      </c>
      <c r="D124" s="7" t="s">
        <v>95</v>
      </c>
      <c r="E124" s="7" t="s">
        <v>116</v>
      </c>
      <c r="F124" s="7" t="s">
        <v>302</v>
      </c>
      <c r="G124" s="7" t="s">
        <v>303</v>
      </c>
      <c r="H124" s="7" t="s">
        <v>231</v>
      </c>
      <c r="I124" s="7">
        <v>1220</v>
      </c>
      <c r="J124" s="7">
        <v>911</v>
      </c>
      <c r="K124" s="7">
        <v>0</v>
      </c>
      <c r="L124" s="7">
        <v>0</v>
      </c>
      <c r="M124" s="7">
        <v>42</v>
      </c>
      <c r="N124" s="22">
        <v>2.3260000000000002E-4</v>
      </c>
    </row>
    <row r="125" spans="1:14">
      <c r="A125" s="7" t="s">
        <v>45</v>
      </c>
      <c r="B125" s="7">
        <v>85</v>
      </c>
      <c r="C125" s="7">
        <v>86</v>
      </c>
      <c r="D125" s="7" t="s">
        <v>95</v>
      </c>
      <c r="E125" s="7" t="s">
        <v>115</v>
      </c>
      <c r="F125" s="7" t="s">
        <v>302</v>
      </c>
      <c r="G125" s="7" t="s">
        <v>303</v>
      </c>
      <c r="H125" s="7" t="s">
        <v>233</v>
      </c>
      <c r="I125" s="7">
        <v>5871</v>
      </c>
      <c r="J125" s="7">
        <v>888</v>
      </c>
      <c r="K125" s="7">
        <v>0</v>
      </c>
      <c r="L125" s="7">
        <v>0</v>
      </c>
      <c r="M125" s="7">
        <v>43</v>
      </c>
      <c r="N125" s="22">
        <v>2.2920000000000001E-4</v>
      </c>
    </row>
    <row r="126" spans="1:14">
      <c r="A126" s="7" t="s">
        <v>24</v>
      </c>
      <c r="B126" s="7">
        <v>85</v>
      </c>
      <c r="C126" s="7">
        <v>86</v>
      </c>
      <c r="D126" s="7" t="s">
        <v>95</v>
      </c>
      <c r="E126" s="7" t="s">
        <v>116</v>
      </c>
      <c r="F126" s="7" t="s">
        <v>302</v>
      </c>
      <c r="G126" s="7" t="s">
        <v>303</v>
      </c>
      <c r="H126" s="7" t="s">
        <v>233</v>
      </c>
      <c r="I126" s="7">
        <v>2983</v>
      </c>
      <c r="J126" s="7">
        <v>761</v>
      </c>
      <c r="K126" s="7">
        <v>0</v>
      </c>
      <c r="L126" s="7">
        <v>0</v>
      </c>
      <c r="M126" s="7">
        <v>42</v>
      </c>
      <c r="N126" s="22">
        <v>2.0260000000000002E-4</v>
      </c>
    </row>
    <row r="127" spans="1:14">
      <c r="A127" s="7" t="s">
        <v>24</v>
      </c>
      <c r="B127" s="7">
        <v>87</v>
      </c>
      <c r="C127" s="7">
        <v>88</v>
      </c>
      <c r="D127" s="7" t="s">
        <v>95</v>
      </c>
      <c r="E127" s="7" t="s">
        <v>116</v>
      </c>
      <c r="F127" s="7" t="s">
        <v>302</v>
      </c>
      <c r="G127" s="7" t="s">
        <v>303</v>
      </c>
      <c r="H127" s="7" t="s">
        <v>238</v>
      </c>
      <c r="I127" s="7">
        <v>1979</v>
      </c>
      <c r="J127" s="7">
        <v>432</v>
      </c>
      <c r="K127" s="7">
        <v>0</v>
      </c>
      <c r="L127" s="7">
        <v>0</v>
      </c>
      <c r="M127" s="7">
        <v>42</v>
      </c>
      <c r="N127" s="22">
        <v>1.3680000000000002E-4</v>
      </c>
    </row>
    <row r="128" spans="1:14">
      <c r="A128" s="7" t="s">
        <v>45</v>
      </c>
      <c r="B128" s="7">
        <v>88</v>
      </c>
      <c r="C128" s="7">
        <v>91</v>
      </c>
      <c r="D128" s="7" t="s">
        <v>239</v>
      </c>
      <c r="E128" s="7" t="s">
        <v>115</v>
      </c>
      <c r="F128" s="7" t="s">
        <v>305</v>
      </c>
      <c r="G128" s="7" t="s">
        <v>309</v>
      </c>
      <c r="H128" s="7" t="s">
        <v>307</v>
      </c>
      <c r="I128" s="7">
        <v>1352</v>
      </c>
      <c r="J128" s="7">
        <v>1042</v>
      </c>
      <c r="K128" s="7">
        <v>0</v>
      </c>
      <c r="L128" s="7">
        <v>1039</v>
      </c>
      <c r="M128" s="7">
        <v>40</v>
      </c>
      <c r="N128" s="22">
        <v>3.0835000000000004E-4</v>
      </c>
    </row>
    <row r="129" spans="1:14">
      <c r="A129" s="7" t="s">
        <v>24</v>
      </c>
      <c r="B129" s="7">
        <v>88</v>
      </c>
      <c r="C129" s="7">
        <v>91</v>
      </c>
      <c r="D129" s="7" t="s">
        <v>239</v>
      </c>
      <c r="E129" s="7" t="s">
        <v>116</v>
      </c>
      <c r="F129" s="7" t="s">
        <v>305</v>
      </c>
      <c r="G129" s="7" t="s">
        <v>309</v>
      </c>
      <c r="H129" s="7" t="s">
        <v>307</v>
      </c>
      <c r="I129" s="7">
        <v>1218</v>
      </c>
      <c r="J129" s="7">
        <v>955</v>
      </c>
      <c r="K129" s="7">
        <v>0</v>
      </c>
      <c r="L129" s="7">
        <v>0</v>
      </c>
      <c r="M129" s="7">
        <v>39</v>
      </c>
      <c r="N129" s="22">
        <v>2.3780000000000001E-4</v>
      </c>
    </row>
    <row r="130" spans="1:14">
      <c r="A130" s="7" t="s">
        <v>45</v>
      </c>
      <c r="B130" s="7">
        <v>89</v>
      </c>
      <c r="C130" s="7">
        <v>92</v>
      </c>
      <c r="D130" s="7" t="s">
        <v>239</v>
      </c>
      <c r="E130" s="7" t="s">
        <v>115</v>
      </c>
      <c r="F130" s="7" t="s">
        <v>305</v>
      </c>
      <c r="G130" s="7" t="s">
        <v>309</v>
      </c>
      <c r="H130" s="7" t="s">
        <v>307</v>
      </c>
      <c r="I130" s="7">
        <v>1278</v>
      </c>
      <c r="J130" s="7">
        <v>847</v>
      </c>
      <c r="K130" s="7">
        <v>0</v>
      </c>
      <c r="L130" s="7">
        <v>0</v>
      </c>
      <c r="M130" s="7">
        <v>40</v>
      </c>
      <c r="N130" s="22">
        <v>2.174E-4</v>
      </c>
    </row>
    <row r="131" spans="1:14">
      <c r="A131" s="7" t="s">
        <v>24</v>
      </c>
      <c r="B131" s="7">
        <v>89</v>
      </c>
      <c r="C131" s="7">
        <v>92</v>
      </c>
      <c r="D131" s="7" t="s">
        <v>239</v>
      </c>
      <c r="E131" s="7" t="s">
        <v>116</v>
      </c>
      <c r="F131" s="7" t="s">
        <v>305</v>
      </c>
      <c r="G131" s="7" t="s">
        <v>309</v>
      </c>
      <c r="H131" s="7" t="s">
        <v>307</v>
      </c>
      <c r="I131" s="7">
        <v>1444</v>
      </c>
      <c r="J131" s="7">
        <v>688</v>
      </c>
      <c r="K131" s="7">
        <v>0</v>
      </c>
      <c r="L131" s="7">
        <v>0</v>
      </c>
      <c r="M131" s="7">
        <v>39</v>
      </c>
      <c r="N131" s="22">
        <v>1.8439999999999998E-4</v>
      </c>
    </row>
    <row r="132" spans="1:14">
      <c r="A132" s="7" t="s">
        <v>45</v>
      </c>
      <c r="B132" s="7">
        <v>90</v>
      </c>
      <c r="C132" s="7">
        <v>93</v>
      </c>
      <c r="D132" s="7" t="s">
        <v>239</v>
      </c>
      <c r="E132" s="7" t="s">
        <v>115</v>
      </c>
      <c r="F132" s="7" t="s">
        <v>305</v>
      </c>
      <c r="G132" s="7" t="s">
        <v>309</v>
      </c>
      <c r="H132" s="7" t="s">
        <v>307</v>
      </c>
      <c r="I132" s="7">
        <v>1099</v>
      </c>
      <c r="J132" s="7">
        <v>994</v>
      </c>
      <c r="K132" s="7">
        <v>0</v>
      </c>
      <c r="L132" s="7">
        <v>0</v>
      </c>
      <c r="M132" s="7">
        <v>40</v>
      </c>
      <c r="N132" s="22">
        <v>2.4680000000000004E-4</v>
      </c>
    </row>
    <row r="133" spans="1:14">
      <c r="A133" s="7" t="s">
        <v>24</v>
      </c>
      <c r="B133" s="7">
        <v>90</v>
      </c>
      <c r="C133" s="7">
        <v>93</v>
      </c>
      <c r="D133" s="7" t="s">
        <v>239</v>
      </c>
      <c r="E133" s="7" t="s">
        <v>116</v>
      </c>
      <c r="F133" s="7" t="s">
        <v>305</v>
      </c>
      <c r="G133" s="7" t="s">
        <v>309</v>
      </c>
      <c r="H133" s="7" t="s">
        <v>307</v>
      </c>
      <c r="I133" s="7">
        <v>1158</v>
      </c>
      <c r="J133" s="7">
        <v>849</v>
      </c>
      <c r="K133" s="7">
        <v>0</v>
      </c>
      <c r="L133" s="7">
        <v>0</v>
      </c>
      <c r="M133" s="7">
        <v>39</v>
      </c>
      <c r="N133" s="22">
        <v>2.1660000000000003E-4</v>
      </c>
    </row>
    <row r="134" spans="1:14">
      <c r="A134" s="7" t="s">
        <v>45</v>
      </c>
      <c r="B134" s="7">
        <v>91</v>
      </c>
      <c r="C134" s="7">
        <v>94</v>
      </c>
      <c r="D134" s="7" t="s">
        <v>239</v>
      </c>
      <c r="E134" s="7" t="s">
        <v>115</v>
      </c>
      <c r="F134" s="7" t="s">
        <v>305</v>
      </c>
      <c r="G134" s="7" t="s">
        <v>309</v>
      </c>
      <c r="H134" s="7" t="s">
        <v>307</v>
      </c>
      <c r="I134" s="7">
        <v>1026</v>
      </c>
      <c r="J134" s="7">
        <v>1023</v>
      </c>
      <c r="K134" s="7">
        <v>0</v>
      </c>
      <c r="L134" s="7">
        <v>0</v>
      </c>
      <c r="M134" s="7">
        <v>40</v>
      </c>
      <c r="N134" s="22">
        <v>2.5260000000000001E-4</v>
      </c>
    </row>
    <row r="135" spans="1:14">
      <c r="A135" s="7" t="s">
        <v>24</v>
      </c>
      <c r="B135" s="7">
        <v>91</v>
      </c>
      <c r="C135" s="7">
        <v>94</v>
      </c>
      <c r="D135" s="7" t="s">
        <v>239</v>
      </c>
      <c r="E135" s="7" t="s">
        <v>116</v>
      </c>
      <c r="F135" s="7" t="s">
        <v>305</v>
      </c>
      <c r="G135" s="7" t="s">
        <v>310</v>
      </c>
      <c r="H135" s="7" t="s">
        <v>307</v>
      </c>
      <c r="I135" s="7">
        <v>1528</v>
      </c>
      <c r="J135" s="7">
        <v>826</v>
      </c>
      <c r="K135" s="7">
        <v>0</v>
      </c>
      <c r="L135" s="7">
        <v>0</v>
      </c>
      <c r="M135" s="7">
        <v>36</v>
      </c>
      <c r="N135" s="22">
        <v>2.084E-4</v>
      </c>
    </row>
    <row r="136" spans="1:14">
      <c r="A136" s="7" t="s">
        <v>45</v>
      </c>
      <c r="B136" s="7">
        <v>92</v>
      </c>
      <c r="C136" s="7">
        <v>95</v>
      </c>
      <c r="D136" s="7" t="s">
        <v>239</v>
      </c>
      <c r="E136" s="7" t="s">
        <v>115</v>
      </c>
      <c r="F136" s="7" t="s">
        <v>308</v>
      </c>
      <c r="G136" s="7" t="s">
        <v>309</v>
      </c>
      <c r="H136" s="7" t="s">
        <v>307</v>
      </c>
      <c r="I136" s="7">
        <v>1879</v>
      </c>
      <c r="J136" s="7">
        <v>1074</v>
      </c>
      <c r="K136" s="7">
        <v>0</v>
      </c>
      <c r="L136" s="7">
        <v>1071</v>
      </c>
      <c r="M136" s="7">
        <v>41</v>
      </c>
      <c r="N136" s="22">
        <v>3.1754999999999999E-4</v>
      </c>
    </row>
    <row r="137" spans="1:14">
      <c r="A137" s="7" t="s">
        <v>24</v>
      </c>
      <c r="B137" s="7">
        <v>92</v>
      </c>
      <c r="C137" s="7">
        <v>95</v>
      </c>
      <c r="D137" s="7" t="s">
        <v>239</v>
      </c>
      <c r="E137" s="7" t="s">
        <v>116</v>
      </c>
      <c r="F137" s="7" t="s">
        <v>311</v>
      </c>
      <c r="G137" s="7" t="s">
        <v>309</v>
      </c>
      <c r="H137" s="7" t="s">
        <v>307</v>
      </c>
      <c r="I137" s="7">
        <v>1158</v>
      </c>
      <c r="J137" s="7">
        <v>984</v>
      </c>
      <c r="K137" s="7">
        <v>0</v>
      </c>
      <c r="L137" s="7">
        <v>0</v>
      </c>
      <c r="M137" s="7">
        <v>38</v>
      </c>
      <c r="N137" s="22">
        <v>2.4240000000000001E-4</v>
      </c>
    </row>
    <row r="138" spans="1:14">
      <c r="A138" s="7" t="s">
        <v>45</v>
      </c>
      <c r="B138" s="7">
        <v>93</v>
      </c>
      <c r="C138" s="7">
        <v>98</v>
      </c>
      <c r="D138" s="7" t="s">
        <v>95</v>
      </c>
      <c r="E138" s="7" t="s">
        <v>115</v>
      </c>
      <c r="F138" s="7" t="s">
        <v>302</v>
      </c>
      <c r="G138" s="7" t="s">
        <v>303</v>
      </c>
      <c r="H138" s="7" t="s">
        <v>245</v>
      </c>
      <c r="I138" s="7">
        <v>1178</v>
      </c>
      <c r="J138" s="7">
        <v>943</v>
      </c>
      <c r="K138" s="7">
        <v>0</v>
      </c>
      <c r="L138" s="7">
        <v>0</v>
      </c>
      <c r="M138" s="7">
        <v>43</v>
      </c>
      <c r="N138" s="22">
        <v>2.4020000000000001E-4</v>
      </c>
    </row>
    <row r="139" spans="1:14">
      <c r="A139" s="7" t="s">
        <v>24</v>
      </c>
      <c r="B139" s="7">
        <v>93</v>
      </c>
      <c r="C139" s="7">
        <v>98</v>
      </c>
      <c r="D139" s="7" t="s">
        <v>95</v>
      </c>
      <c r="E139" s="7" t="s">
        <v>116</v>
      </c>
      <c r="F139" s="7" t="s">
        <v>302</v>
      </c>
      <c r="G139" s="7" t="s">
        <v>303</v>
      </c>
      <c r="H139" s="7" t="s">
        <v>245</v>
      </c>
      <c r="I139" s="7">
        <v>1224</v>
      </c>
      <c r="J139" s="7">
        <v>756</v>
      </c>
      <c r="K139" s="7">
        <v>0</v>
      </c>
      <c r="L139" s="7">
        <v>0</v>
      </c>
      <c r="M139" s="7">
        <v>42</v>
      </c>
      <c r="N139" s="22">
        <v>2.0160000000000002E-4</v>
      </c>
    </row>
    <row r="140" spans="1:14">
      <c r="A140" s="7" t="s">
        <v>45</v>
      </c>
      <c r="B140" s="7">
        <v>94</v>
      </c>
      <c r="C140" s="7">
        <v>99</v>
      </c>
      <c r="D140" s="7" t="s">
        <v>93</v>
      </c>
      <c r="E140" s="7" t="s">
        <v>115</v>
      </c>
      <c r="F140" s="7" t="s">
        <v>308</v>
      </c>
      <c r="G140" s="7" t="s">
        <v>309</v>
      </c>
      <c r="H140" s="7" t="s">
        <v>307</v>
      </c>
      <c r="I140" s="7">
        <v>1911</v>
      </c>
      <c r="J140" s="7">
        <v>796</v>
      </c>
      <c r="K140" s="7">
        <v>0</v>
      </c>
      <c r="L140" s="7">
        <v>0</v>
      </c>
      <c r="M140" s="7">
        <v>41</v>
      </c>
      <c r="N140" s="22">
        <v>2.084E-4</v>
      </c>
    </row>
    <row r="141" spans="1:14">
      <c r="A141" s="7" t="s">
        <v>24</v>
      </c>
      <c r="B141" s="7">
        <v>94</v>
      </c>
      <c r="C141" s="7">
        <v>99</v>
      </c>
      <c r="D141" s="7" t="s">
        <v>93</v>
      </c>
      <c r="E141" s="7" t="s">
        <v>116</v>
      </c>
      <c r="F141" s="7" t="s">
        <v>308</v>
      </c>
      <c r="G141" s="7" t="s">
        <v>309</v>
      </c>
      <c r="H141" s="7" t="s">
        <v>307</v>
      </c>
      <c r="I141" s="7">
        <v>1177</v>
      </c>
      <c r="J141" s="7">
        <v>651</v>
      </c>
      <c r="K141" s="7">
        <v>0</v>
      </c>
      <c r="L141" s="7">
        <v>0</v>
      </c>
      <c r="M141" s="7">
        <v>40</v>
      </c>
      <c r="N141" s="22">
        <v>1.7820000000000002E-4</v>
      </c>
    </row>
    <row r="142" spans="1:14">
      <c r="A142" s="7" t="s">
        <v>45</v>
      </c>
      <c r="B142" s="7">
        <v>95</v>
      </c>
      <c r="C142" s="7">
        <v>100</v>
      </c>
      <c r="D142" s="7" t="s">
        <v>93</v>
      </c>
      <c r="E142" s="7" t="s">
        <v>115</v>
      </c>
      <c r="F142" s="7" t="s">
        <v>308</v>
      </c>
      <c r="G142" s="7" t="s">
        <v>309</v>
      </c>
      <c r="H142" s="7" t="s">
        <v>307</v>
      </c>
      <c r="I142" s="7">
        <v>1955</v>
      </c>
      <c r="J142" s="7">
        <v>966</v>
      </c>
      <c r="K142" s="7">
        <v>0</v>
      </c>
      <c r="L142" s="7">
        <v>0</v>
      </c>
      <c r="M142" s="7">
        <v>41</v>
      </c>
      <c r="N142" s="22">
        <v>2.4240000000000001E-4</v>
      </c>
    </row>
    <row r="143" spans="1:14">
      <c r="A143" s="7" t="s">
        <v>24</v>
      </c>
      <c r="B143" s="7">
        <v>95</v>
      </c>
      <c r="C143" s="7">
        <v>100</v>
      </c>
      <c r="D143" s="7" t="s">
        <v>93</v>
      </c>
      <c r="E143" s="7" t="s">
        <v>116</v>
      </c>
      <c r="F143" s="7" t="s">
        <v>308</v>
      </c>
      <c r="G143" s="7" t="s">
        <v>309</v>
      </c>
      <c r="H143" s="7" t="s">
        <v>307</v>
      </c>
      <c r="I143" s="7">
        <v>1247</v>
      </c>
      <c r="J143" s="7">
        <v>821</v>
      </c>
      <c r="K143" s="7">
        <v>0</v>
      </c>
      <c r="L143" s="7">
        <v>0</v>
      </c>
      <c r="M143" s="7">
        <v>40</v>
      </c>
      <c r="N143" s="22">
        <v>2.1220000000000001E-4</v>
      </c>
    </row>
    <row r="144" spans="1:14">
      <c r="A144" s="7" t="s">
        <v>24</v>
      </c>
      <c r="B144" s="7">
        <v>96</v>
      </c>
      <c r="C144" s="7">
        <v>101</v>
      </c>
      <c r="D144" s="7" t="s">
        <v>95</v>
      </c>
      <c r="E144" s="7" t="s">
        <v>116</v>
      </c>
      <c r="F144" s="7" t="s">
        <v>302</v>
      </c>
      <c r="G144" s="7" t="s">
        <v>303</v>
      </c>
      <c r="H144" s="7" t="s">
        <v>96</v>
      </c>
      <c r="I144" s="7">
        <v>1300</v>
      </c>
      <c r="J144" s="7">
        <v>629</v>
      </c>
      <c r="K144" s="7">
        <v>0</v>
      </c>
      <c r="L144" s="7">
        <v>0</v>
      </c>
      <c r="M144" s="7">
        <v>42</v>
      </c>
      <c r="N144" s="22">
        <v>1.7620000000000003E-4</v>
      </c>
    </row>
    <row r="145" spans="1:14">
      <c r="A145" s="7" t="s">
        <v>45</v>
      </c>
      <c r="B145" s="7">
        <v>97</v>
      </c>
      <c r="C145" s="7">
        <v>102</v>
      </c>
      <c r="D145" s="7" t="s">
        <v>93</v>
      </c>
      <c r="E145" s="7" t="s">
        <v>115</v>
      </c>
      <c r="F145" s="7" t="s">
        <v>308</v>
      </c>
      <c r="G145" s="7" t="s">
        <v>306</v>
      </c>
      <c r="H145" s="7" t="s">
        <v>307</v>
      </c>
      <c r="I145" s="7">
        <v>1164</v>
      </c>
      <c r="J145" s="7">
        <v>887</v>
      </c>
      <c r="K145" s="7">
        <v>0</v>
      </c>
      <c r="L145" s="7">
        <v>0</v>
      </c>
      <c r="M145" s="7">
        <v>41</v>
      </c>
      <c r="N145" s="22">
        <v>2.2660000000000001E-4</v>
      </c>
    </row>
    <row r="146" spans="1:14">
      <c r="A146" s="7" t="s">
        <v>24</v>
      </c>
      <c r="B146" s="7">
        <v>97</v>
      </c>
      <c r="C146" s="7">
        <v>102</v>
      </c>
      <c r="D146" s="7" t="s">
        <v>93</v>
      </c>
      <c r="E146" s="7" t="s">
        <v>116</v>
      </c>
      <c r="F146" s="7" t="s">
        <v>308</v>
      </c>
      <c r="G146" s="7" t="s">
        <v>309</v>
      </c>
      <c r="H146" s="7" t="s">
        <v>307</v>
      </c>
      <c r="I146" s="7">
        <v>1022</v>
      </c>
      <c r="J146" s="7">
        <v>758</v>
      </c>
      <c r="K146" s="7">
        <v>0</v>
      </c>
      <c r="L146" s="7">
        <v>0</v>
      </c>
      <c r="M146" s="7">
        <v>40</v>
      </c>
      <c r="N146" s="22">
        <v>1.996E-4</v>
      </c>
    </row>
    <row r="147" spans="1:14">
      <c r="A147" s="7" t="s">
        <v>45</v>
      </c>
      <c r="B147" s="7">
        <v>98</v>
      </c>
      <c r="C147" s="7">
        <v>103</v>
      </c>
      <c r="D147" s="7" t="s">
        <v>239</v>
      </c>
      <c r="E147" s="7" t="s">
        <v>115</v>
      </c>
      <c r="F147" s="7" t="s">
        <v>305</v>
      </c>
      <c r="G147" s="7" t="s">
        <v>309</v>
      </c>
      <c r="H147" s="7" t="s">
        <v>307</v>
      </c>
      <c r="I147" s="7">
        <v>1544</v>
      </c>
      <c r="J147" s="7">
        <v>1056</v>
      </c>
      <c r="K147" s="7">
        <v>0</v>
      </c>
      <c r="L147" s="7">
        <v>1053</v>
      </c>
      <c r="M147" s="7">
        <v>40</v>
      </c>
      <c r="N147" s="22">
        <v>3.1185000000000002E-4</v>
      </c>
    </row>
    <row r="148" spans="1:14">
      <c r="A148" s="7" t="s">
        <v>24</v>
      </c>
      <c r="B148" s="7">
        <v>98</v>
      </c>
      <c r="C148" s="7">
        <v>103</v>
      </c>
      <c r="D148" s="7" t="s">
        <v>239</v>
      </c>
      <c r="E148" s="7" t="s">
        <v>116</v>
      </c>
      <c r="F148" s="7" t="s">
        <v>305</v>
      </c>
      <c r="G148" s="7" t="s">
        <v>309</v>
      </c>
      <c r="H148" s="7" t="s">
        <v>307</v>
      </c>
      <c r="I148" s="7">
        <v>995</v>
      </c>
      <c r="J148" s="7">
        <v>821</v>
      </c>
      <c r="K148" s="7">
        <v>0</v>
      </c>
      <c r="L148" s="7">
        <v>0</v>
      </c>
      <c r="M148" s="7">
        <v>39</v>
      </c>
      <c r="N148" s="22">
        <v>2.1100000000000001E-4</v>
      </c>
    </row>
    <row r="149" spans="1:14">
      <c r="A149" s="7" t="s">
        <v>24</v>
      </c>
      <c r="B149" s="7">
        <v>99</v>
      </c>
      <c r="C149" s="7">
        <v>104</v>
      </c>
      <c r="D149" s="7" t="s">
        <v>95</v>
      </c>
      <c r="E149" s="7" t="s">
        <v>116</v>
      </c>
      <c r="F149" s="7" t="s">
        <v>302</v>
      </c>
      <c r="G149" s="7" t="s">
        <v>303</v>
      </c>
      <c r="H149" s="7" t="s">
        <v>254</v>
      </c>
      <c r="I149" s="7">
        <v>1322</v>
      </c>
      <c r="J149" s="7">
        <v>556</v>
      </c>
      <c r="K149" s="7">
        <v>0</v>
      </c>
      <c r="L149" s="7">
        <v>0</v>
      </c>
      <c r="M149" s="7">
        <v>42</v>
      </c>
      <c r="N149" s="22">
        <v>1.616E-4</v>
      </c>
    </row>
    <row r="150" spans="1:14">
      <c r="A150" s="7" t="s">
        <v>45</v>
      </c>
      <c r="B150" s="7">
        <v>100</v>
      </c>
      <c r="C150" s="7">
        <v>105</v>
      </c>
      <c r="D150" s="7" t="s">
        <v>95</v>
      </c>
      <c r="E150" s="7" t="s">
        <v>115</v>
      </c>
      <c r="F150" s="7" t="s">
        <v>302</v>
      </c>
      <c r="G150" s="7" t="s">
        <v>303</v>
      </c>
      <c r="H150" s="7" t="s">
        <v>255</v>
      </c>
      <c r="I150" s="7">
        <v>1168</v>
      </c>
      <c r="J150" s="7">
        <v>733</v>
      </c>
      <c r="K150" s="7">
        <v>0</v>
      </c>
      <c r="L150" s="7">
        <v>0</v>
      </c>
      <c r="M150" s="7">
        <v>43</v>
      </c>
      <c r="N150" s="22">
        <v>1.9819999999999999E-4</v>
      </c>
    </row>
    <row r="151" spans="1:14">
      <c r="A151" s="7" t="s">
        <v>24</v>
      </c>
      <c r="B151" s="7">
        <v>100</v>
      </c>
      <c r="C151" s="7">
        <v>105</v>
      </c>
      <c r="D151" s="7" t="s">
        <v>95</v>
      </c>
      <c r="E151" s="7" t="s">
        <v>116</v>
      </c>
      <c r="F151" s="7" t="s">
        <v>302</v>
      </c>
      <c r="G151" s="7" t="s">
        <v>303</v>
      </c>
      <c r="H151" s="7" t="s">
        <v>255</v>
      </c>
      <c r="I151" s="7">
        <v>1166</v>
      </c>
      <c r="J151" s="7">
        <v>615</v>
      </c>
      <c r="K151" s="7">
        <v>0</v>
      </c>
      <c r="L151" s="7">
        <v>0</v>
      </c>
      <c r="M151" s="7">
        <v>42</v>
      </c>
      <c r="N151" s="22">
        <v>1.7340000000000001E-4</v>
      </c>
    </row>
    <row r="152" spans="1:14">
      <c r="A152" s="7" t="s">
        <v>45</v>
      </c>
      <c r="B152" s="7">
        <v>101</v>
      </c>
      <c r="C152" s="7">
        <v>106</v>
      </c>
      <c r="D152" s="7" t="s">
        <v>239</v>
      </c>
      <c r="E152" s="7" t="s">
        <v>115</v>
      </c>
      <c r="F152" s="7" t="s">
        <v>305</v>
      </c>
      <c r="G152" s="7" t="s">
        <v>309</v>
      </c>
      <c r="H152" s="7" t="s">
        <v>307</v>
      </c>
      <c r="I152" s="7">
        <v>1123</v>
      </c>
      <c r="J152" s="7">
        <v>897</v>
      </c>
      <c r="K152" s="7">
        <v>0</v>
      </c>
      <c r="L152" s="7">
        <v>0</v>
      </c>
      <c r="M152" s="7">
        <v>40</v>
      </c>
      <c r="N152" s="22">
        <v>2.274E-4</v>
      </c>
    </row>
    <row r="153" spans="1:14">
      <c r="A153" s="7" t="s">
        <v>24</v>
      </c>
      <c r="B153" s="7">
        <v>101</v>
      </c>
      <c r="C153" s="7">
        <v>106</v>
      </c>
      <c r="D153" s="7" t="s">
        <v>239</v>
      </c>
      <c r="E153" s="7" t="s">
        <v>116</v>
      </c>
      <c r="F153" s="7" t="s">
        <v>305</v>
      </c>
      <c r="G153" s="7" t="s">
        <v>310</v>
      </c>
      <c r="H153" s="7" t="s">
        <v>307</v>
      </c>
      <c r="I153" s="7">
        <v>1561</v>
      </c>
      <c r="J153" s="7">
        <v>698</v>
      </c>
      <c r="K153" s="7">
        <v>0</v>
      </c>
      <c r="L153" s="7">
        <v>0</v>
      </c>
      <c r="M153" s="7">
        <v>36</v>
      </c>
      <c r="N153" s="22">
        <v>1.8279999999999997E-4</v>
      </c>
    </row>
    <row r="154" spans="1:14">
      <c r="A154" s="7" t="s">
        <v>45</v>
      </c>
      <c r="B154" s="7">
        <v>102</v>
      </c>
      <c r="C154" s="7">
        <v>109</v>
      </c>
      <c r="D154" s="7" t="s">
        <v>95</v>
      </c>
      <c r="E154" s="7" t="s">
        <v>115</v>
      </c>
      <c r="F154" s="7" t="s">
        <v>302</v>
      </c>
      <c r="G154" s="7" t="s">
        <v>303</v>
      </c>
      <c r="H154" s="7" t="s">
        <v>258</v>
      </c>
      <c r="I154" s="7">
        <v>1054</v>
      </c>
      <c r="J154" s="7">
        <v>865</v>
      </c>
      <c r="K154" s="7">
        <v>0</v>
      </c>
      <c r="L154" s="7">
        <v>0</v>
      </c>
      <c r="M154" s="7">
        <v>43</v>
      </c>
      <c r="N154" s="22">
        <v>2.2459999999999998E-4</v>
      </c>
    </row>
    <row r="155" spans="1:14">
      <c r="A155" s="7" t="s">
        <v>24</v>
      </c>
      <c r="B155" s="7">
        <v>102</v>
      </c>
      <c r="C155" s="7">
        <v>109</v>
      </c>
      <c r="D155" s="7" t="s">
        <v>95</v>
      </c>
      <c r="E155" s="7" t="s">
        <v>116</v>
      </c>
      <c r="F155" s="7" t="s">
        <v>302</v>
      </c>
      <c r="G155" s="7" t="s">
        <v>303</v>
      </c>
      <c r="H155" s="7" t="s">
        <v>258</v>
      </c>
      <c r="I155" s="7">
        <v>1081</v>
      </c>
      <c r="J155" s="7">
        <v>673</v>
      </c>
      <c r="K155" s="7">
        <v>0</v>
      </c>
      <c r="L155" s="7">
        <v>0</v>
      </c>
      <c r="M155" s="7">
        <v>42</v>
      </c>
      <c r="N155" s="22">
        <v>1.85E-4</v>
      </c>
    </row>
    <row r="156" spans="1:14">
      <c r="A156" s="7" t="s">
        <v>45</v>
      </c>
      <c r="B156" s="7">
        <v>104</v>
      </c>
      <c r="C156" s="7">
        <v>111</v>
      </c>
      <c r="D156" s="7" t="s">
        <v>95</v>
      </c>
      <c r="E156" s="7" t="s">
        <v>115</v>
      </c>
      <c r="F156" s="7" t="s">
        <v>302</v>
      </c>
      <c r="G156" s="7" t="s">
        <v>303</v>
      </c>
      <c r="H156" s="7" t="s">
        <v>261</v>
      </c>
      <c r="I156" s="7">
        <v>1288</v>
      </c>
      <c r="J156" s="7">
        <v>947</v>
      </c>
      <c r="K156" s="7">
        <v>0</v>
      </c>
      <c r="L156" s="7">
        <v>0</v>
      </c>
      <c r="M156" s="7">
        <v>43</v>
      </c>
      <c r="N156" s="22">
        <v>2.41E-4</v>
      </c>
    </row>
    <row r="157" spans="1:14">
      <c r="A157" s="7" t="s">
        <v>24</v>
      </c>
      <c r="B157" s="7">
        <v>104</v>
      </c>
      <c r="C157" s="7">
        <v>111</v>
      </c>
      <c r="D157" s="7" t="s">
        <v>95</v>
      </c>
      <c r="E157" s="7" t="s">
        <v>116</v>
      </c>
      <c r="F157" s="7" t="s">
        <v>302</v>
      </c>
      <c r="G157" s="7" t="s">
        <v>303</v>
      </c>
      <c r="H157" s="7" t="s">
        <v>261</v>
      </c>
      <c r="I157" s="7">
        <v>1311</v>
      </c>
      <c r="J157" s="7">
        <v>770</v>
      </c>
      <c r="K157" s="7">
        <v>0</v>
      </c>
      <c r="L157" s="7">
        <v>0</v>
      </c>
      <c r="M157" s="7">
        <v>42</v>
      </c>
      <c r="N157" s="22">
        <v>2.0440000000000001E-4</v>
      </c>
    </row>
    <row r="158" spans="1:14">
      <c r="A158" s="7" t="s">
        <v>45</v>
      </c>
      <c r="B158" s="7">
        <v>105</v>
      </c>
      <c r="C158" s="7">
        <v>112</v>
      </c>
      <c r="D158" s="7" t="s">
        <v>93</v>
      </c>
      <c r="E158" s="7" t="s">
        <v>115</v>
      </c>
      <c r="F158" s="7" t="s">
        <v>308</v>
      </c>
      <c r="G158" s="7" t="s">
        <v>306</v>
      </c>
      <c r="H158" s="7" t="s">
        <v>307</v>
      </c>
      <c r="I158" s="7">
        <v>1636</v>
      </c>
      <c r="J158" s="7">
        <v>3567</v>
      </c>
      <c r="K158" s="7">
        <v>0</v>
      </c>
      <c r="L158" s="7">
        <v>3564</v>
      </c>
      <c r="M158" s="7">
        <v>41</v>
      </c>
      <c r="N158" s="22">
        <v>9.408000000000001E-4</v>
      </c>
    </row>
    <row r="159" spans="1:14">
      <c r="A159" s="7" t="s">
        <v>24</v>
      </c>
      <c r="B159" s="7">
        <v>105</v>
      </c>
      <c r="C159" s="7">
        <v>112</v>
      </c>
      <c r="D159" s="7" t="s">
        <v>93</v>
      </c>
      <c r="E159" s="7" t="s">
        <v>116</v>
      </c>
      <c r="F159" s="7" t="s">
        <v>308</v>
      </c>
      <c r="G159" s="7" t="s">
        <v>306</v>
      </c>
      <c r="H159" s="7" t="s">
        <v>307</v>
      </c>
      <c r="I159" s="7">
        <v>1542</v>
      </c>
      <c r="J159" s="7">
        <v>2819</v>
      </c>
      <c r="K159" s="7">
        <v>0</v>
      </c>
      <c r="L159" s="7">
        <v>2816</v>
      </c>
      <c r="M159" s="7">
        <v>40</v>
      </c>
      <c r="N159" s="22">
        <v>7.5259999999999997E-4</v>
      </c>
    </row>
    <row r="160" spans="1:14">
      <c r="A160" s="7" t="s">
        <v>24</v>
      </c>
      <c r="B160" s="7">
        <v>106</v>
      </c>
      <c r="C160" s="7">
        <v>113</v>
      </c>
      <c r="D160" s="7" t="s">
        <v>95</v>
      </c>
      <c r="E160" s="7" t="s">
        <v>116</v>
      </c>
      <c r="F160" s="7" t="s">
        <v>302</v>
      </c>
      <c r="G160" s="7" t="s">
        <v>303</v>
      </c>
      <c r="H160" s="7" t="s">
        <v>264</v>
      </c>
      <c r="I160" s="7">
        <v>1618</v>
      </c>
      <c r="J160" s="7">
        <v>420</v>
      </c>
      <c r="K160" s="7">
        <v>0</v>
      </c>
      <c r="L160" s="7">
        <v>0</v>
      </c>
      <c r="M160" s="7">
        <v>42</v>
      </c>
      <c r="N160" s="22">
        <v>1.3440000000000001E-4</v>
      </c>
    </row>
    <row r="161" spans="1:14">
      <c r="A161" s="7" t="s">
        <v>24</v>
      </c>
      <c r="B161" s="7">
        <v>107</v>
      </c>
      <c r="C161" s="7">
        <v>114</v>
      </c>
      <c r="D161" s="7" t="s">
        <v>95</v>
      </c>
      <c r="E161" s="7" t="s">
        <v>116</v>
      </c>
      <c r="F161" s="7" t="s">
        <v>302</v>
      </c>
      <c r="G161" s="7" t="s">
        <v>303</v>
      </c>
      <c r="H161" s="7" t="s">
        <v>265</v>
      </c>
      <c r="I161" s="7">
        <v>1189</v>
      </c>
      <c r="J161" s="7">
        <v>425</v>
      </c>
      <c r="K161" s="7">
        <v>0</v>
      </c>
      <c r="L161" s="7">
        <v>0</v>
      </c>
      <c r="M161" s="7">
        <v>42</v>
      </c>
      <c r="N161" s="22">
        <v>1.3540000000000001E-4</v>
      </c>
    </row>
    <row r="162" spans="1:14">
      <c r="A162" s="7" t="s">
        <v>24</v>
      </c>
      <c r="B162" s="7">
        <v>108</v>
      </c>
      <c r="C162" s="7">
        <v>115</v>
      </c>
      <c r="D162" s="7" t="s">
        <v>95</v>
      </c>
      <c r="E162" s="7" t="s">
        <v>116</v>
      </c>
      <c r="F162" s="7" t="s">
        <v>302</v>
      </c>
      <c r="G162" s="7" t="s">
        <v>303</v>
      </c>
      <c r="H162" s="7" t="s">
        <v>266</v>
      </c>
      <c r="I162" s="7">
        <v>1199</v>
      </c>
      <c r="J162" s="7">
        <v>496</v>
      </c>
      <c r="K162" s="7">
        <v>0</v>
      </c>
      <c r="L162" s="7">
        <v>0</v>
      </c>
      <c r="M162" s="7">
        <v>42</v>
      </c>
      <c r="N162" s="22">
        <v>1.496E-4</v>
      </c>
    </row>
    <row r="163" spans="1:14">
      <c r="A163" s="7" t="s">
        <v>45</v>
      </c>
      <c r="B163" s="7">
        <v>109</v>
      </c>
      <c r="C163" s="7">
        <v>116</v>
      </c>
      <c r="D163" s="7" t="s">
        <v>95</v>
      </c>
      <c r="E163" s="7" t="s">
        <v>115</v>
      </c>
      <c r="F163" s="7" t="s">
        <v>302</v>
      </c>
      <c r="G163" s="7" t="s">
        <v>303</v>
      </c>
      <c r="H163" s="7" t="s">
        <v>267</v>
      </c>
      <c r="I163" s="7">
        <v>1021</v>
      </c>
      <c r="J163" s="7">
        <v>759</v>
      </c>
      <c r="K163" s="7">
        <v>0</v>
      </c>
      <c r="L163" s="7">
        <v>0</v>
      </c>
      <c r="M163" s="7">
        <v>43</v>
      </c>
      <c r="N163" s="22">
        <v>2.0340000000000001E-4</v>
      </c>
    </row>
    <row r="164" spans="1:14">
      <c r="A164" s="7" t="s">
        <v>24</v>
      </c>
      <c r="B164" s="7">
        <v>109</v>
      </c>
      <c r="C164" s="7">
        <v>116</v>
      </c>
      <c r="D164" s="7" t="s">
        <v>95</v>
      </c>
      <c r="E164" s="7" t="s">
        <v>116</v>
      </c>
      <c r="F164" s="7" t="s">
        <v>302</v>
      </c>
      <c r="G164" s="7" t="s">
        <v>303</v>
      </c>
      <c r="H164" s="7" t="s">
        <v>267</v>
      </c>
      <c r="I164" s="7">
        <v>2331</v>
      </c>
      <c r="J164" s="7">
        <v>607</v>
      </c>
      <c r="K164" s="7">
        <v>0</v>
      </c>
      <c r="L164" s="7">
        <v>0</v>
      </c>
      <c r="M164" s="7">
        <v>42</v>
      </c>
      <c r="N164" s="22">
        <v>1.718E-4</v>
      </c>
    </row>
    <row r="165" spans="1:14">
      <c r="A165" s="7" t="s">
        <v>24</v>
      </c>
      <c r="B165" s="7">
        <v>111</v>
      </c>
      <c r="C165" s="7">
        <v>119</v>
      </c>
      <c r="D165" s="7" t="s">
        <v>95</v>
      </c>
      <c r="E165" s="7" t="s">
        <v>116</v>
      </c>
      <c r="F165" s="7" t="s">
        <v>302</v>
      </c>
      <c r="G165" s="7" t="s">
        <v>303</v>
      </c>
      <c r="H165" s="7" t="s">
        <v>270</v>
      </c>
      <c r="I165" s="7">
        <v>1216</v>
      </c>
      <c r="J165" s="7">
        <v>569</v>
      </c>
      <c r="K165" s="7">
        <v>0</v>
      </c>
      <c r="L165" s="7">
        <v>0</v>
      </c>
      <c r="M165" s="7">
        <v>42</v>
      </c>
      <c r="N165" s="22">
        <v>1.6420000000000001E-4</v>
      </c>
    </row>
    <row r="166" spans="1:14">
      <c r="A166" s="7" t="s">
        <v>24</v>
      </c>
      <c r="B166" s="7">
        <v>112</v>
      </c>
      <c r="C166" s="7">
        <v>120</v>
      </c>
      <c r="D166" s="7" t="s">
        <v>95</v>
      </c>
      <c r="E166" s="7" t="s">
        <v>116</v>
      </c>
      <c r="F166" s="7" t="s">
        <v>302</v>
      </c>
      <c r="G166" s="7" t="s">
        <v>303</v>
      </c>
      <c r="H166" s="7" t="s">
        <v>271</v>
      </c>
      <c r="I166" s="7">
        <v>1739</v>
      </c>
      <c r="J166" s="7">
        <v>409</v>
      </c>
      <c r="K166" s="7">
        <v>0</v>
      </c>
      <c r="L166" s="7">
        <v>0</v>
      </c>
      <c r="M166" s="7">
        <v>42</v>
      </c>
      <c r="N166" s="22">
        <v>1.3220000000000001E-4</v>
      </c>
    </row>
    <row r="167" spans="1:14">
      <c r="A167" s="7" t="s">
        <v>45</v>
      </c>
      <c r="B167" s="7">
        <v>113</v>
      </c>
      <c r="C167" s="7">
        <v>121</v>
      </c>
      <c r="D167" s="7" t="s">
        <v>95</v>
      </c>
      <c r="E167" s="7" t="s">
        <v>115</v>
      </c>
      <c r="F167" s="7" t="s">
        <v>302</v>
      </c>
      <c r="G167" s="7" t="s">
        <v>303</v>
      </c>
      <c r="H167" s="7" t="s">
        <v>272</v>
      </c>
      <c r="I167" s="7">
        <v>1250</v>
      </c>
      <c r="J167" s="7">
        <v>756</v>
      </c>
      <c r="K167" s="7">
        <v>0</v>
      </c>
      <c r="L167" s="7">
        <v>0</v>
      </c>
      <c r="M167" s="7">
        <v>43</v>
      </c>
      <c r="N167" s="22">
        <v>2.0280000000000002E-4</v>
      </c>
    </row>
    <row r="168" spans="1:14">
      <c r="A168" s="7" t="s">
        <v>24</v>
      </c>
      <c r="B168" s="7">
        <v>113</v>
      </c>
      <c r="C168" s="7">
        <v>121</v>
      </c>
      <c r="D168" s="7" t="s">
        <v>95</v>
      </c>
      <c r="E168" s="7" t="s">
        <v>116</v>
      </c>
      <c r="F168" s="7" t="s">
        <v>302</v>
      </c>
      <c r="G168" s="7" t="s">
        <v>303</v>
      </c>
      <c r="H168" s="7" t="s">
        <v>272</v>
      </c>
      <c r="I168" s="7">
        <v>1255</v>
      </c>
      <c r="J168" s="7">
        <v>583</v>
      </c>
      <c r="K168" s="7">
        <v>0</v>
      </c>
      <c r="L168" s="7">
        <v>0</v>
      </c>
      <c r="M168" s="7">
        <v>42</v>
      </c>
      <c r="N168" s="22">
        <v>1.6699999999999999E-4</v>
      </c>
    </row>
    <row r="169" spans="1:14">
      <c r="A169" s="7" t="s">
        <v>45</v>
      </c>
      <c r="B169" s="7">
        <v>114</v>
      </c>
      <c r="C169" s="7">
        <v>122</v>
      </c>
      <c r="D169" s="7" t="s">
        <v>95</v>
      </c>
      <c r="E169" s="7" t="s">
        <v>115</v>
      </c>
      <c r="F169" s="7" t="s">
        <v>302</v>
      </c>
      <c r="G169" s="7" t="s">
        <v>303</v>
      </c>
      <c r="H169" s="7" t="s">
        <v>274</v>
      </c>
      <c r="I169" s="7">
        <v>1101</v>
      </c>
      <c r="J169" s="7">
        <v>1647</v>
      </c>
      <c r="K169" s="7">
        <v>0</v>
      </c>
      <c r="L169" s="7">
        <v>1644</v>
      </c>
      <c r="M169" s="7">
        <v>43</v>
      </c>
      <c r="N169" s="22">
        <v>4.6320000000000004E-4</v>
      </c>
    </row>
    <row r="170" spans="1:14">
      <c r="A170" s="7" t="s">
        <v>24</v>
      </c>
      <c r="B170" s="7">
        <v>114</v>
      </c>
      <c r="C170" s="7">
        <v>122</v>
      </c>
      <c r="D170" s="7" t="s">
        <v>95</v>
      </c>
      <c r="E170" s="7" t="s">
        <v>116</v>
      </c>
      <c r="F170" s="7" t="s">
        <v>302</v>
      </c>
      <c r="G170" s="7" t="s">
        <v>303</v>
      </c>
      <c r="H170" s="7" t="s">
        <v>274</v>
      </c>
      <c r="I170" s="7">
        <v>1146</v>
      </c>
      <c r="J170" s="7">
        <v>1347</v>
      </c>
      <c r="K170" s="7">
        <v>0</v>
      </c>
      <c r="L170" s="7">
        <v>1344</v>
      </c>
      <c r="M170" s="7">
        <v>42</v>
      </c>
      <c r="N170" s="22">
        <v>3.8699999999999997E-4</v>
      </c>
    </row>
    <row r="171" spans="1:14">
      <c r="A171" s="7" t="s">
        <v>45</v>
      </c>
      <c r="B171" s="7">
        <v>116</v>
      </c>
      <c r="C171" s="7">
        <v>125</v>
      </c>
      <c r="D171" s="7" t="s">
        <v>93</v>
      </c>
      <c r="E171" s="7" t="s">
        <v>115</v>
      </c>
      <c r="F171" s="7" t="s">
        <v>308</v>
      </c>
      <c r="G171" s="7" t="s">
        <v>306</v>
      </c>
      <c r="H171" s="7" t="s">
        <v>307</v>
      </c>
      <c r="I171" s="7">
        <v>1433</v>
      </c>
      <c r="J171" s="7">
        <v>587</v>
      </c>
      <c r="K171" s="7">
        <v>0</v>
      </c>
      <c r="L171" s="7">
        <v>0</v>
      </c>
      <c r="M171" s="7">
        <v>41</v>
      </c>
      <c r="N171" s="22">
        <v>1.6659999999999998E-4</v>
      </c>
    </row>
    <row r="172" spans="1:14">
      <c r="A172" s="7" t="s">
        <v>24</v>
      </c>
      <c r="B172" s="7">
        <v>116</v>
      </c>
      <c r="C172" s="7">
        <v>125</v>
      </c>
      <c r="D172" s="7" t="s">
        <v>93</v>
      </c>
      <c r="E172" s="7" t="s">
        <v>116</v>
      </c>
      <c r="F172" s="7" t="s">
        <v>308</v>
      </c>
      <c r="G172" s="7" t="s">
        <v>309</v>
      </c>
      <c r="H172" s="7" t="s">
        <v>307</v>
      </c>
      <c r="I172" s="7">
        <v>1656</v>
      </c>
      <c r="J172" s="7">
        <v>507</v>
      </c>
      <c r="K172" s="7">
        <v>0</v>
      </c>
      <c r="L172" s="7">
        <v>0</v>
      </c>
      <c r="M172" s="7">
        <v>40</v>
      </c>
      <c r="N172" s="22">
        <v>1.494E-4</v>
      </c>
    </row>
    <row r="173" spans="1:14">
      <c r="A173" s="7" t="s">
        <v>45</v>
      </c>
      <c r="B173" s="7">
        <v>118</v>
      </c>
      <c r="C173" s="7">
        <v>127</v>
      </c>
      <c r="D173" s="7" t="s">
        <v>95</v>
      </c>
      <c r="E173" s="7" t="s">
        <v>115</v>
      </c>
      <c r="F173" s="7" t="s">
        <v>302</v>
      </c>
      <c r="G173" s="7" t="s">
        <v>303</v>
      </c>
      <c r="H173" s="7" t="s">
        <v>278</v>
      </c>
      <c r="I173" s="7">
        <v>1169</v>
      </c>
      <c r="J173" s="7">
        <v>1131</v>
      </c>
      <c r="K173" s="7">
        <v>0</v>
      </c>
      <c r="L173" s="7">
        <v>1128</v>
      </c>
      <c r="M173" s="7">
        <v>43</v>
      </c>
      <c r="N173" s="22">
        <v>3.3420000000000005E-4</v>
      </c>
    </row>
    <row r="174" spans="1:14">
      <c r="A174" s="7" t="s">
        <v>24</v>
      </c>
      <c r="B174" s="7">
        <v>118</v>
      </c>
      <c r="C174" s="7">
        <v>127</v>
      </c>
      <c r="D174" s="7" t="s">
        <v>95</v>
      </c>
      <c r="E174" s="7" t="s">
        <v>116</v>
      </c>
      <c r="F174" s="7" t="s">
        <v>302</v>
      </c>
      <c r="G174" s="7" t="s">
        <v>303</v>
      </c>
      <c r="H174" s="7" t="s">
        <v>278</v>
      </c>
      <c r="I174" s="7">
        <v>1249</v>
      </c>
      <c r="J174" s="7">
        <v>967</v>
      </c>
      <c r="K174" s="7">
        <v>0</v>
      </c>
      <c r="L174" s="7">
        <v>0</v>
      </c>
      <c r="M174" s="7">
        <v>42</v>
      </c>
      <c r="N174" s="22">
        <v>2.4380000000000002E-4</v>
      </c>
    </row>
    <row r="175" spans="1:14">
      <c r="A175" s="7" t="s">
        <v>45</v>
      </c>
      <c r="B175" s="7">
        <v>119</v>
      </c>
      <c r="C175" s="7">
        <v>128</v>
      </c>
      <c r="D175" s="7" t="s">
        <v>239</v>
      </c>
      <c r="E175" s="7" t="s">
        <v>115</v>
      </c>
      <c r="F175" s="7" t="s">
        <v>311</v>
      </c>
      <c r="G175" s="7" t="s">
        <v>312</v>
      </c>
      <c r="H175" s="7" t="s">
        <v>307</v>
      </c>
      <c r="I175" s="7">
        <v>1391</v>
      </c>
      <c r="J175" s="7">
        <v>1326</v>
      </c>
      <c r="K175" s="7">
        <v>0</v>
      </c>
      <c r="L175" s="7">
        <v>1323</v>
      </c>
      <c r="M175" s="7">
        <v>37</v>
      </c>
      <c r="N175" s="22">
        <v>3.7575E-4</v>
      </c>
    </row>
    <row r="176" spans="1:14">
      <c r="A176" s="7" t="s">
        <v>24</v>
      </c>
      <c r="B176" s="7">
        <v>119</v>
      </c>
      <c r="C176" s="7">
        <v>128</v>
      </c>
      <c r="D176" s="7" t="s">
        <v>239</v>
      </c>
      <c r="E176" s="7" t="s">
        <v>116</v>
      </c>
      <c r="F176" s="7" t="s">
        <v>311</v>
      </c>
      <c r="G176" s="7" t="s">
        <v>312</v>
      </c>
      <c r="H176" s="7" t="s">
        <v>307</v>
      </c>
      <c r="I176" s="7">
        <v>1239</v>
      </c>
      <c r="J176" s="7">
        <v>1069</v>
      </c>
      <c r="K176" s="7">
        <v>1066</v>
      </c>
      <c r="L176" s="7">
        <v>0</v>
      </c>
      <c r="M176" s="7">
        <v>36</v>
      </c>
      <c r="N176" s="22">
        <v>6.512E-5</v>
      </c>
    </row>
    <row r="177" spans="1:14">
      <c r="A177" s="7" t="s">
        <v>45</v>
      </c>
      <c r="B177" s="7">
        <v>120</v>
      </c>
      <c r="C177" s="7">
        <v>129</v>
      </c>
      <c r="D177" s="7" t="s">
        <v>239</v>
      </c>
      <c r="E177" s="7" t="s">
        <v>115</v>
      </c>
      <c r="F177" s="7" t="s">
        <v>311</v>
      </c>
      <c r="G177" s="7" t="s">
        <v>306</v>
      </c>
      <c r="H177" s="7" t="s">
        <v>307</v>
      </c>
      <c r="I177" s="7">
        <v>1500</v>
      </c>
      <c r="J177" s="7">
        <v>2424</v>
      </c>
      <c r="K177" s="7">
        <v>0</v>
      </c>
      <c r="L177" s="7">
        <v>2421</v>
      </c>
      <c r="M177" s="7">
        <v>39</v>
      </c>
      <c r="N177" s="22">
        <v>6.5264999999999995E-4</v>
      </c>
    </row>
    <row r="178" spans="1:14">
      <c r="A178" s="7" t="s">
        <v>24</v>
      </c>
      <c r="B178" s="7">
        <v>120</v>
      </c>
      <c r="C178" s="7">
        <v>129</v>
      </c>
      <c r="D178" s="7" t="s">
        <v>239</v>
      </c>
      <c r="E178" s="7" t="s">
        <v>116</v>
      </c>
      <c r="F178" s="7" t="s">
        <v>311</v>
      </c>
      <c r="G178" s="7" t="s">
        <v>306</v>
      </c>
      <c r="H178" s="7" t="s">
        <v>307</v>
      </c>
      <c r="I178" s="7">
        <v>1302</v>
      </c>
      <c r="J178" s="7">
        <v>2107</v>
      </c>
      <c r="K178" s="7">
        <v>0</v>
      </c>
      <c r="L178" s="7">
        <v>2104</v>
      </c>
      <c r="M178" s="7">
        <v>38</v>
      </c>
      <c r="N178" s="22">
        <v>5.7220000000000003E-4</v>
      </c>
    </row>
    <row r="179" spans="1:14">
      <c r="A179" s="7" t="s">
        <v>45</v>
      </c>
      <c r="B179" s="7">
        <v>121</v>
      </c>
      <c r="C179" s="7">
        <v>130</v>
      </c>
      <c r="D179" s="7" t="s">
        <v>95</v>
      </c>
      <c r="E179" s="7" t="s">
        <v>115</v>
      </c>
      <c r="F179" s="7" t="s">
        <v>302</v>
      </c>
      <c r="G179" s="7" t="s">
        <v>303</v>
      </c>
      <c r="H179" s="7" t="s">
        <v>283</v>
      </c>
      <c r="I179" s="7">
        <v>1102</v>
      </c>
      <c r="J179" s="7">
        <v>853</v>
      </c>
      <c r="K179" s="7">
        <v>0</v>
      </c>
      <c r="L179" s="7">
        <v>0</v>
      </c>
      <c r="M179" s="7">
        <v>43</v>
      </c>
      <c r="N179" s="22">
        <v>2.2220000000000001E-4</v>
      </c>
    </row>
    <row r="180" spans="1:14">
      <c r="A180" s="7" t="s">
        <v>24</v>
      </c>
      <c r="B180" s="7">
        <v>121</v>
      </c>
      <c r="C180" s="7">
        <v>130</v>
      </c>
      <c r="D180" s="7" t="s">
        <v>95</v>
      </c>
      <c r="E180" s="7" t="s">
        <v>116</v>
      </c>
      <c r="F180" s="7" t="s">
        <v>302</v>
      </c>
      <c r="G180" s="7" t="s">
        <v>303</v>
      </c>
      <c r="H180" s="7" t="s">
        <v>283</v>
      </c>
      <c r="I180" s="7">
        <v>1846</v>
      </c>
      <c r="J180" s="7">
        <v>680</v>
      </c>
      <c r="K180" s="7">
        <v>0</v>
      </c>
      <c r="L180" s="7">
        <v>0</v>
      </c>
      <c r="M180" s="7">
        <v>42</v>
      </c>
      <c r="N180" s="22">
        <v>1.864E-4</v>
      </c>
    </row>
    <row r="181" spans="1:14">
      <c r="A181" s="7" t="s">
        <v>45</v>
      </c>
      <c r="B181" s="7">
        <v>122</v>
      </c>
      <c r="C181" s="7">
        <v>131</v>
      </c>
      <c r="D181" s="7" t="s">
        <v>239</v>
      </c>
      <c r="E181" s="7" t="s">
        <v>115</v>
      </c>
      <c r="F181" s="7" t="s">
        <v>305</v>
      </c>
      <c r="G181" s="7" t="s">
        <v>313</v>
      </c>
      <c r="H181" s="7" t="s">
        <v>307</v>
      </c>
      <c r="I181" s="7">
        <v>1917</v>
      </c>
      <c r="J181" s="7">
        <v>992</v>
      </c>
      <c r="K181" s="7">
        <v>0</v>
      </c>
      <c r="L181" s="7">
        <v>0</v>
      </c>
      <c r="M181" s="7">
        <v>37</v>
      </c>
      <c r="N181" s="22">
        <v>2.4280000000000002E-4</v>
      </c>
    </row>
    <row r="182" spans="1:14">
      <c r="A182" s="7" t="s">
        <v>24</v>
      </c>
      <c r="B182" s="7">
        <v>122</v>
      </c>
      <c r="C182" s="7">
        <v>131</v>
      </c>
      <c r="D182" s="7" t="s">
        <v>239</v>
      </c>
      <c r="E182" s="7" t="s">
        <v>116</v>
      </c>
      <c r="F182" s="7" t="s">
        <v>305</v>
      </c>
      <c r="G182" s="7" t="s">
        <v>313</v>
      </c>
      <c r="H182" s="7" t="s">
        <v>307</v>
      </c>
      <c r="I182" s="7">
        <v>2573</v>
      </c>
      <c r="J182" s="7">
        <v>811</v>
      </c>
      <c r="K182" s="7">
        <v>0</v>
      </c>
      <c r="L182" s="7">
        <v>0</v>
      </c>
      <c r="M182" s="7">
        <v>36</v>
      </c>
      <c r="N182" s="22">
        <v>2.0540000000000001E-4</v>
      </c>
    </row>
    <row r="183" spans="1:14">
      <c r="A183" s="7" t="s">
        <v>45</v>
      </c>
      <c r="B183" s="7">
        <v>123</v>
      </c>
      <c r="C183" s="7">
        <v>132</v>
      </c>
      <c r="D183" s="7" t="s">
        <v>95</v>
      </c>
      <c r="E183" s="7" t="s">
        <v>115</v>
      </c>
      <c r="F183" s="7" t="s">
        <v>302</v>
      </c>
      <c r="G183" s="7" t="s">
        <v>303</v>
      </c>
      <c r="H183" s="7" t="s">
        <v>286</v>
      </c>
      <c r="I183" s="7">
        <v>1130</v>
      </c>
      <c r="J183" s="7">
        <v>909</v>
      </c>
      <c r="K183" s="7">
        <v>0</v>
      </c>
      <c r="L183" s="7">
        <v>0</v>
      </c>
      <c r="M183" s="7">
        <v>43</v>
      </c>
      <c r="N183" s="22">
        <v>2.3340000000000001E-4</v>
      </c>
    </row>
    <row r="184" spans="1:14">
      <c r="A184" s="7" t="s">
        <v>24</v>
      </c>
      <c r="B184" s="7">
        <v>123</v>
      </c>
      <c r="C184" s="7">
        <v>132</v>
      </c>
      <c r="D184" s="7" t="s">
        <v>95</v>
      </c>
      <c r="E184" s="7" t="s">
        <v>116</v>
      </c>
      <c r="F184" s="7" t="s">
        <v>302</v>
      </c>
      <c r="G184" s="7" t="s">
        <v>303</v>
      </c>
      <c r="H184" s="7" t="s">
        <v>286</v>
      </c>
      <c r="I184" s="7">
        <v>1222</v>
      </c>
      <c r="J184" s="7">
        <v>723</v>
      </c>
      <c r="K184" s="7">
        <v>0</v>
      </c>
      <c r="L184" s="7">
        <v>0</v>
      </c>
      <c r="M184" s="7">
        <v>42</v>
      </c>
      <c r="N184" s="22">
        <v>1.95E-4</v>
      </c>
    </row>
    <row r="185" spans="1:14">
      <c r="A185" s="7" t="s">
        <v>45</v>
      </c>
      <c r="B185" s="7">
        <v>124</v>
      </c>
      <c r="C185" s="7">
        <v>133</v>
      </c>
      <c r="D185" s="7" t="s">
        <v>239</v>
      </c>
      <c r="E185" s="7" t="s">
        <v>115</v>
      </c>
      <c r="F185" s="7" t="s">
        <v>311</v>
      </c>
      <c r="G185" s="7" t="s">
        <v>306</v>
      </c>
      <c r="H185" s="7" t="s">
        <v>307</v>
      </c>
      <c r="I185" s="7">
        <v>1063</v>
      </c>
      <c r="J185" s="7">
        <v>1401</v>
      </c>
      <c r="K185" s="7">
        <v>0</v>
      </c>
      <c r="L185" s="7">
        <v>1398</v>
      </c>
      <c r="M185" s="7">
        <v>39</v>
      </c>
      <c r="N185" s="22">
        <v>3.9690000000000005E-4</v>
      </c>
    </row>
    <row r="186" spans="1:14">
      <c r="A186" s="7" t="s">
        <v>24</v>
      </c>
      <c r="B186" s="7">
        <v>124</v>
      </c>
      <c r="C186" s="7">
        <v>133</v>
      </c>
      <c r="D186" s="7" t="s">
        <v>239</v>
      </c>
      <c r="E186" s="7" t="s">
        <v>116</v>
      </c>
      <c r="F186" s="7" t="s">
        <v>311</v>
      </c>
      <c r="G186" s="7" t="s">
        <v>306</v>
      </c>
      <c r="H186" s="7" t="s">
        <v>307</v>
      </c>
      <c r="I186" s="7">
        <v>1088</v>
      </c>
      <c r="J186" s="7">
        <v>1160</v>
      </c>
      <c r="K186" s="7">
        <v>0</v>
      </c>
      <c r="L186" s="7">
        <v>1157</v>
      </c>
      <c r="M186" s="7">
        <v>38</v>
      </c>
      <c r="N186" s="22">
        <v>3.3545000000000005E-4</v>
      </c>
    </row>
    <row r="187" spans="1:14">
      <c r="A187" s="7" t="s">
        <v>45</v>
      </c>
      <c r="B187" s="7">
        <v>125</v>
      </c>
      <c r="C187" s="7">
        <v>134</v>
      </c>
      <c r="D187" s="7" t="s">
        <v>239</v>
      </c>
      <c r="E187" s="7" t="s">
        <v>115</v>
      </c>
      <c r="F187" s="7" t="s">
        <v>308</v>
      </c>
      <c r="G187" s="7" t="s">
        <v>306</v>
      </c>
      <c r="H187" s="7" t="s">
        <v>307</v>
      </c>
      <c r="I187" s="7">
        <v>1939</v>
      </c>
      <c r="J187" s="7">
        <v>1808</v>
      </c>
      <c r="K187" s="7">
        <v>0</v>
      </c>
      <c r="L187" s="7">
        <v>1805</v>
      </c>
      <c r="M187" s="7">
        <v>41</v>
      </c>
      <c r="N187" s="22">
        <v>5.0105000000000006E-4</v>
      </c>
    </row>
    <row r="188" spans="1:14">
      <c r="A188" s="7" t="s">
        <v>24</v>
      </c>
      <c r="B188" s="7">
        <v>125</v>
      </c>
      <c r="C188" s="7">
        <v>134</v>
      </c>
      <c r="D188" s="7" t="s">
        <v>239</v>
      </c>
      <c r="E188" s="7" t="s">
        <v>116</v>
      </c>
      <c r="F188" s="7" t="s">
        <v>308</v>
      </c>
      <c r="G188" s="7" t="s">
        <v>309</v>
      </c>
      <c r="H188" s="7" t="s">
        <v>307</v>
      </c>
      <c r="I188" s="7">
        <v>927</v>
      </c>
      <c r="J188" s="7">
        <v>1512</v>
      </c>
      <c r="K188" s="7">
        <v>0</v>
      </c>
      <c r="L188" s="7">
        <v>1509</v>
      </c>
      <c r="M188" s="7">
        <v>40</v>
      </c>
      <c r="N188" s="22">
        <v>4.2585000000000002E-4</v>
      </c>
    </row>
    <row r="189" spans="1:14">
      <c r="A189" s="7" t="s">
        <v>45</v>
      </c>
      <c r="B189" s="7">
        <v>126</v>
      </c>
      <c r="C189" s="7">
        <v>135</v>
      </c>
      <c r="D189" s="7" t="s">
        <v>239</v>
      </c>
      <c r="E189" s="7" t="s">
        <v>115</v>
      </c>
      <c r="F189" s="7" t="s">
        <v>305</v>
      </c>
      <c r="G189" s="7" t="s">
        <v>310</v>
      </c>
      <c r="H189" s="7" t="s">
        <v>307</v>
      </c>
      <c r="I189" s="7">
        <v>1314</v>
      </c>
      <c r="J189" s="7">
        <v>767</v>
      </c>
      <c r="K189" s="7">
        <v>0</v>
      </c>
      <c r="L189" s="7">
        <v>0</v>
      </c>
      <c r="M189" s="7">
        <v>37</v>
      </c>
      <c r="N189" s="22">
        <v>1.9780000000000001E-4</v>
      </c>
    </row>
    <row r="190" spans="1:14">
      <c r="A190" s="7" t="s">
        <v>24</v>
      </c>
      <c r="B190" s="7">
        <v>126</v>
      </c>
      <c r="C190" s="7">
        <v>135</v>
      </c>
      <c r="D190" s="7" t="s">
        <v>239</v>
      </c>
      <c r="E190" s="7" t="s">
        <v>116</v>
      </c>
      <c r="F190" s="7" t="s">
        <v>305</v>
      </c>
      <c r="G190" s="7" t="s">
        <v>310</v>
      </c>
      <c r="H190" s="7" t="s">
        <v>307</v>
      </c>
      <c r="I190" s="7">
        <v>1064</v>
      </c>
      <c r="J190" s="7">
        <v>678</v>
      </c>
      <c r="K190" s="7">
        <v>0</v>
      </c>
      <c r="L190" s="7">
        <v>0</v>
      </c>
      <c r="M190" s="7">
        <v>36</v>
      </c>
      <c r="N190" s="22">
        <v>1.7879999999999998E-4</v>
      </c>
    </row>
    <row r="191" spans="1:14">
      <c r="A191" s="7" t="s">
        <v>45</v>
      </c>
      <c r="B191" s="7">
        <v>127</v>
      </c>
      <c r="C191" s="7">
        <v>136</v>
      </c>
      <c r="D191" s="7" t="s">
        <v>95</v>
      </c>
      <c r="E191" s="7" t="s">
        <v>115</v>
      </c>
      <c r="F191" s="7" t="s">
        <v>302</v>
      </c>
      <c r="G191" s="7" t="s">
        <v>303</v>
      </c>
      <c r="H191" s="7" t="s">
        <v>289</v>
      </c>
      <c r="I191" s="7">
        <v>1496</v>
      </c>
      <c r="J191" s="7">
        <v>794</v>
      </c>
      <c r="K191" s="7">
        <v>0</v>
      </c>
      <c r="L191" s="7">
        <v>0</v>
      </c>
      <c r="M191" s="7">
        <v>43</v>
      </c>
      <c r="N191" s="22">
        <v>2.1040000000000002E-4</v>
      </c>
    </row>
    <row r="192" spans="1:14">
      <c r="A192" s="7" t="s">
        <v>24</v>
      </c>
      <c r="B192" s="7">
        <v>127</v>
      </c>
      <c r="C192" s="7">
        <v>136</v>
      </c>
      <c r="D192" s="7" t="s">
        <v>95</v>
      </c>
      <c r="E192" s="7" t="s">
        <v>116</v>
      </c>
      <c r="F192" s="7" t="s">
        <v>302</v>
      </c>
      <c r="G192" s="7" t="s">
        <v>303</v>
      </c>
      <c r="H192" s="7" t="s">
        <v>289</v>
      </c>
      <c r="I192" s="7">
        <v>1153</v>
      </c>
      <c r="J192" s="7">
        <v>667</v>
      </c>
      <c r="K192" s="7">
        <v>0</v>
      </c>
      <c r="L192" s="7">
        <v>0</v>
      </c>
      <c r="M192" s="7">
        <v>42</v>
      </c>
      <c r="N192" s="22">
        <v>1.8380000000000002E-4</v>
      </c>
    </row>
    <row r="193" spans="1:14">
      <c r="A193" s="7" t="s">
        <v>45</v>
      </c>
      <c r="B193" s="7">
        <v>128</v>
      </c>
      <c r="C193" s="7">
        <v>137</v>
      </c>
      <c r="D193" s="7" t="s">
        <v>95</v>
      </c>
      <c r="E193" s="7" t="s">
        <v>115</v>
      </c>
      <c r="F193" s="7" t="s">
        <v>302</v>
      </c>
      <c r="G193" s="7" t="s">
        <v>303</v>
      </c>
      <c r="H193" s="7" t="s">
        <v>291</v>
      </c>
      <c r="I193" s="7">
        <v>1736</v>
      </c>
      <c r="J193" s="7">
        <v>1044</v>
      </c>
      <c r="K193" s="7">
        <v>0</v>
      </c>
      <c r="L193" s="7">
        <v>1041</v>
      </c>
      <c r="M193" s="7">
        <v>43</v>
      </c>
      <c r="N193" s="22">
        <v>3.1245000000000003E-4</v>
      </c>
    </row>
    <row r="194" spans="1:14">
      <c r="A194" s="7" t="s">
        <v>24</v>
      </c>
      <c r="B194" s="7">
        <v>128</v>
      </c>
      <c r="C194" s="7">
        <v>137</v>
      </c>
      <c r="D194" s="7" t="s">
        <v>95</v>
      </c>
      <c r="E194" s="7" t="s">
        <v>116</v>
      </c>
      <c r="F194" s="7" t="s">
        <v>302</v>
      </c>
      <c r="G194" s="7" t="s">
        <v>303</v>
      </c>
      <c r="H194" s="7" t="s">
        <v>291</v>
      </c>
      <c r="I194" s="7">
        <v>1636</v>
      </c>
      <c r="J194" s="7">
        <v>819</v>
      </c>
      <c r="K194" s="7">
        <v>0</v>
      </c>
      <c r="L194" s="7">
        <v>0</v>
      </c>
      <c r="M194" s="7">
        <v>42</v>
      </c>
      <c r="N194" s="22">
        <v>2.1420000000000003E-4</v>
      </c>
    </row>
  </sheetData>
  <mergeCells count="2">
    <mergeCell ref="A1:N2"/>
    <mergeCell ref="A3:N3"/>
  </mergeCells>
  <phoneticPr fontId="7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showGridLines="0" tabSelected="1" workbookViewId="0">
      <selection sqref="A1:F2"/>
    </sheetView>
  </sheetViews>
  <sheetFormatPr defaultRowHeight="14"/>
  <cols>
    <col min="1" max="1" width="24" customWidth="1"/>
    <col min="2" max="2" width="72" customWidth="1"/>
    <col min="3" max="4" width="18" customWidth="1"/>
    <col min="5" max="5" width="55" customWidth="1"/>
    <col min="6" max="6" width="48" customWidth="1"/>
  </cols>
  <sheetData>
    <row r="1" spans="1:6" ht="30" customHeight="1">
      <c r="A1" s="31" t="s">
        <v>314</v>
      </c>
      <c r="B1" s="32"/>
      <c r="C1" s="32"/>
      <c r="D1" s="32"/>
      <c r="E1" s="32"/>
      <c r="F1" s="32"/>
    </row>
    <row r="2" spans="1:6" ht="30" customHeight="1">
      <c r="A2" s="32"/>
      <c r="B2" s="32"/>
      <c r="C2" s="32"/>
      <c r="D2" s="32"/>
      <c r="E2" s="32"/>
      <c r="F2" s="32"/>
    </row>
    <row r="3" spans="1:6">
      <c r="A3" s="33" t="s">
        <v>315</v>
      </c>
      <c r="B3" s="33" t="s">
        <v>315</v>
      </c>
      <c r="C3" s="33" t="s">
        <v>315</v>
      </c>
      <c r="D3" s="33" t="s">
        <v>315</v>
      </c>
      <c r="E3" s="33" t="s">
        <v>315</v>
      </c>
      <c r="F3" s="33" t="s">
        <v>315</v>
      </c>
    </row>
    <row r="4" spans="1:6">
      <c r="A4" s="1"/>
      <c r="B4" s="1"/>
      <c r="C4" s="1"/>
      <c r="D4" s="1"/>
      <c r="E4" s="1"/>
      <c r="F4" s="1"/>
    </row>
    <row r="5" spans="1:6">
      <c r="A5" s="28" t="s">
        <v>316</v>
      </c>
      <c r="B5" s="29" t="s">
        <v>317</v>
      </c>
      <c r="C5" s="29" t="s">
        <v>318</v>
      </c>
      <c r="D5" s="29" t="s">
        <v>319</v>
      </c>
      <c r="E5" s="29" t="s">
        <v>320</v>
      </c>
      <c r="F5" s="30" t="s">
        <v>321</v>
      </c>
    </row>
    <row r="6" spans="1:6">
      <c r="A6" s="2" t="s">
        <v>322</v>
      </c>
      <c r="B6" s="2" t="s">
        <v>323</v>
      </c>
      <c r="C6" s="2">
        <v>128</v>
      </c>
      <c r="D6" s="2" t="s">
        <v>324</v>
      </c>
      <c r="E6" s="2" t="s">
        <v>325</v>
      </c>
      <c r="F6" s="2" t="s">
        <v>326</v>
      </c>
    </row>
    <row r="7" spans="1:6">
      <c r="A7" s="7" t="s">
        <v>105</v>
      </c>
      <c r="B7" s="7" t="s">
        <v>327</v>
      </c>
      <c r="C7" s="7">
        <v>123</v>
      </c>
      <c r="D7" s="7" t="s">
        <v>33</v>
      </c>
      <c r="E7" s="7" t="s">
        <v>328</v>
      </c>
      <c r="F7" s="7" t="s">
        <v>329</v>
      </c>
    </row>
    <row r="8" spans="1:6">
      <c r="A8" s="7" t="s">
        <v>104</v>
      </c>
      <c r="B8" s="7" t="s">
        <v>330</v>
      </c>
      <c r="C8" s="7">
        <v>66</v>
      </c>
      <c r="D8" s="7" t="s">
        <v>33</v>
      </c>
      <c r="E8" s="7" t="s">
        <v>331</v>
      </c>
      <c r="F8" s="7" t="s">
        <v>332</v>
      </c>
    </row>
    <row r="9" spans="1:6">
      <c r="A9" s="7" t="s">
        <v>333</v>
      </c>
      <c r="B9" s="7" t="s">
        <v>334</v>
      </c>
      <c r="C9" s="13">
        <v>2.2115820000000001E-2</v>
      </c>
      <c r="D9" s="7" t="s">
        <v>335</v>
      </c>
      <c r="E9" s="7" t="s">
        <v>56</v>
      </c>
      <c r="F9" s="7" t="s">
        <v>336</v>
      </c>
    </row>
    <row r="10" spans="1:6">
      <c r="A10" s="7" t="s">
        <v>337</v>
      </c>
      <c r="B10" s="7" t="s">
        <v>338</v>
      </c>
      <c r="C10" s="7">
        <v>1435</v>
      </c>
      <c r="D10" s="7" t="s">
        <v>339</v>
      </c>
      <c r="E10" s="7" t="s">
        <v>328</v>
      </c>
      <c r="F10" s="7" t="s">
        <v>340</v>
      </c>
    </row>
    <row r="11" spans="1:6">
      <c r="A11" s="7" t="s">
        <v>341</v>
      </c>
      <c r="B11" s="7" t="s">
        <v>342</v>
      </c>
      <c r="C11" s="7"/>
      <c r="D11" s="7"/>
      <c r="E11" s="7"/>
      <c r="F11" s="7" t="s">
        <v>343</v>
      </c>
    </row>
    <row r="12" spans="1:6">
      <c r="A12" s="7" t="s">
        <v>91</v>
      </c>
      <c r="B12" s="7" t="s">
        <v>344</v>
      </c>
      <c r="C12" s="8">
        <v>0.7</v>
      </c>
      <c r="D12" s="7" t="s">
        <v>345</v>
      </c>
      <c r="E12" s="7" t="s">
        <v>346</v>
      </c>
      <c r="F12" s="7" t="s">
        <v>347</v>
      </c>
    </row>
    <row r="13" spans="1:6">
      <c r="A13" s="7" t="s">
        <v>348</v>
      </c>
      <c r="B13" s="7" t="s">
        <v>349</v>
      </c>
      <c r="C13" s="27" t="b">
        <v>1</v>
      </c>
      <c r="D13" s="7"/>
      <c r="E13" s="7" t="s">
        <v>350</v>
      </c>
      <c r="F13" s="7" t="s">
        <v>351</v>
      </c>
    </row>
    <row r="14" spans="1:6">
      <c r="A14" s="7" t="s">
        <v>352</v>
      </c>
      <c r="B14" s="7" t="s">
        <v>353</v>
      </c>
      <c r="C14" s="20">
        <v>0.25</v>
      </c>
      <c r="D14" s="7" t="s">
        <v>354</v>
      </c>
      <c r="E14" s="7" t="s">
        <v>56</v>
      </c>
      <c r="F14" s="7" t="s">
        <v>355</v>
      </c>
    </row>
    <row r="15" spans="1:6">
      <c r="A15" s="7" t="s">
        <v>356</v>
      </c>
      <c r="B15" s="7" t="s">
        <v>357</v>
      </c>
      <c r="C15" s="7"/>
      <c r="D15" s="7"/>
      <c r="E15" s="7"/>
      <c r="F15" s="7" t="s">
        <v>358</v>
      </c>
    </row>
  </sheetData>
  <mergeCells count="2">
    <mergeCell ref="A1:F2"/>
    <mergeCell ref="A3:F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實驗摘要</vt:lpstr>
      <vt:lpstr>外部成本</vt:lpstr>
      <vt:lpstr>全部明細</vt:lpstr>
      <vt:lpstr>API 呼叫明細</vt:lpstr>
      <vt:lpstr>定義與來源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2026-09-02T17:51:16Z</dcterms:modified>
</cp:coreProperties>
</file>